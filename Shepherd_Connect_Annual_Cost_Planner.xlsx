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📋 Cover" sheetId="1" state="visible" r:id="rId1"/>
    <sheet name="⚙️ Assumptions" sheetId="2" state="visible" r:id="rId2"/>
    <sheet name="💰 Cost Summary" sheetId="3" state="visible" r:id="rId3"/>
    <sheet name="📲 Termii Calculator" sheetId="4" state="visible" r:id="rId4"/>
    <sheet name="📅 Monthly Schedule" sheetId="5" state="visible" r:id="rId5"/>
    <sheet name="🇳🇬 NGN Conver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&quot;$&quot;#,##0.00"/>
    <numFmt numFmtId="167" formatCode="&quot;$&quot;#,##0.0000"/>
    <numFmt numFmtId="168" formatCode="&quot;₦&quot;#,##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F59E0B"/>
      <sz val="13"/>
    </font>
    <font>
      <name val="Calibri"/>
      <i val="1"/>
      <color rgb="0093C5FD"/>
      <sz val="11"/>
    </font>
    <font>
      <name val="Calibri"/>
      <b val="1"/>
      <color rgb="001E3A8A"/>
      <sz val="10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i val="1"/>
      <color rgb="006B7280"/>
      <sz val="10"/>
    </font>
    <font>
      <name val="Calibri"/>
      <b val="1"/>
      <color rgb="00FFFFFF"/>
      <sz val="13"/>
    </font>
    <font>
      <name val="Calibri"/>
      <color rgb="001A1A1A"/>
      <sz val="10"/>
    </font>
    <font>
      <name val="Calibri"/>
      <i val="1"/>
      <color rgb="006B7280"/>
      <sz val="9"/>
    </font>
    <font>
      <name val="Calibri"/>
      <b val="1"/>
      <color rgb="00FFFFFF"/>
      <sz val="11"/>
    </font>
    <font>
      <name val="Calibri"/>
      <b val="1"/>
      <color rgb="001E3A8A"/>
      <sz val="11"/>
    </font>
    <font>
      <name val="Calibri"/>
      <b val="1"/>
      <color rgb="00111827"/>
      <sz val="10"/>
    </font>
    <font>
      <name val="Calibri"/>
      <color rgb="006B7280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59E0B"/>
        <bgColor rgb="00F59E0B"/>
      </patternFill>
    </fill>
    <fill>
      <patternFill patternType="solid">
        <fgColor rgb="00F9FAFB"/>
        <bgColor rgb="00F9FAFB"/>
      </patternFill>
    </fill>
    <fill>
      <patternFill patternType="solid">
        <fgColor rgb="00374151"/>
        <bgColor rgb="00374151"/>
      </patternFill>
    </fill>
    <fill>
      <patternFill patternType="solid">
        <fgColor rgb="00FFF9C4"/>
        <bgColor rgb="00FFF9C4"/>
      </patternFill>
    </fill>
    <fill>
      <patternFill patternType="solid">
        <fgColor rgb="00FEF3C7"/>
        <bgColor rgb="00FEF3C7"/>
      </patternFill>
    </fill>
    <fill>
      <patternFill patternType="solid">
        <fgColor rgb="00FFFBEB"/>
        <bgColor rgb="00FFFBEB"/>
      </patternFill>
    </fill>
    <fill>
      <patternFill patternType="solid">
        <fgColor rgb="00EFF6FF"/>
        <bgColor rgb="00EFF6FF"/>
      </patternFill>
    </fill>
    <fill>
      <patternFill patternType="solid">
        <fgColor rgb="00D1FAE5"/>
        <bgColor rgb="00D1FAE5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medium">
        <color rgb="00D1D5DB"/>
      </left>
      <right style="medium">
        <color rgb="00D1D5DB"/>
      </right>
      <top style="medium">
        <color rgb="00D1D5DB"/>
      </top>
      <bottom style="medium">
        <color rgb="00D1D5DB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0" pivotButton="0" quotePrefix="0" xfId="0"/>
    <xf numFmtId="0" fontId="6" fillId="4" borderId="0" pivotButton="0" quotePrefix="0" xfId="0"/>
    <xf numFmtId="0" fontId="7" fillId="4" borderId="0" pivotButton="0" quotePrefix="0" xfId="0"/>
    <xf numFmtId="0" fontId="8" fillId="2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/>
    </xf>
    <xf numFmtId="3" fontId="9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164" fontId="9" fillId="6" borderId="1" applyAlignment="1" pivotButton="0" quotePrefix="0" xfId="0">
      <alignment horizontal="center" vertical="center"/>
    </xf>
    <xf numFmtId="1" fontId="9" fillId="6" borderId="1" applyAlignment="1" pivotButton="0" quotePrefix="0" xfId="0">
      <alignment horizontal="center" vertical="center"/>
    </xf>
    <xf numFmtId="165" fontId="9" fillId="6" borderId="1" applyAlignment="1" pivotButton="0" quotePrefix="0" xfId="0">
      <alignment horizontal="center" vertical="center"/>
    </xf>
    <xf numFmtId="166" fontId="9" fillId="6" borderId="1" applyAlignment="1" pivotButton="0" quotePrefix="0" xfId="0">
      <alignment horizontal="center" vertical="center"/>
    </xf>
    <xf numFmtId="49" fontId="9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166" fontId="6" fillId="0" borderId="1" applyAlignment="1" pivotButton="0" quotePrefix="0" xfId="0">
      <alignment horizontal="center" vertical="center"/>
    </xf>
    <xf numFmtId="3" fontId="0" fillId="0" borderId="0" pivotButton="0" quotePrefix="0" xfId="0"/>
    <xf numFmtId="0" fontId="6" fillId="4" borderId="1" applyAlignment="1" pivotButton="0" quotePrefix="0" xfId="0">
      <alignment horizontal="left" vertical="center"/>
    </xf>
    <xf numFmtId="166" fontId="6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6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166" fontId="6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166" fontId="11" fillId="2" borderId="1" applyAlignment="1" pivotButton="0" quotePrefix="0" xfId="0">
      <alignment horizontal="center" vertical="center"/>
    </xf>
    <xf numFmtId="0" fontId="0" fillId="2" borderId="6" pivotButton="0" quotePrefix="0" xfId="0"/>
    <xf numFmtId="0" fontId="12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166" fontId="1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9" borderId="1" applyAlignment="1" pivotButton="0" quotePrefix="0" xfId="0">
      <alignment horizontal="left" vertical="center"/>
    </xf>
    <xf numFmtId="3" fontId="0" fillId="9" borderId="1" applyAlignment="1" pivotButton="0" quotePrefix="0" xfId="0">
      <alignment horizontal="center" vertical="center"/>
    </xf>
    <xf numFmtId="167" fontId="0" fillId="9" borderId="1" applyAlignment="1" pivotButton="0" quotePrefix="0" xfId="0">
      <alignment horizontal="center" vertical="center"/>
    </xf>
    <xf numFmtId="166" fontId="0" fillId="9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166" fontId="13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3" fontId="0" fillId="10" borderId="1" applyAlignment="1" pivotButton="0" quotePrefix="0" xfId="0">
      <alignment horizontal="center" vertical="center"/>
    </xf>
    <xf numFmtId="167" fontId="0" fillId="10" borderId="1" applyAlignment="1" pivotButton="0" quotePrefix="0" xfId="0">
      <alignment horizontal="center" vertical="center"/>
    </xf>
    <xf numFmtId="166" fontId="0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166" fontId="13" fillId="10" borderId="1" applyAlignment="1" pivotButton="0" quotePrefix="0" xfId="0">
      <alignment horizontal="center" vertical="center"/>
    </xf>
    <xf numFmtId="3" fontId="0" fillId="7" borderId="1" applyAlignment="1" pivotButton="0" quotePrefix="0" xfId="0">
      <alignment horizontal="center" vertical="center"/>
    </xf>
    <xf numFmtId="167" fontId="0" fillId="7" borderId="1" applyAlignment="1" pivotButton="0" quotePrefix="0" xfId="0">
      <alignment horizontal="center" vertical="center"/>
    </xf>
    <xf numFmtId="166" fontId="0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166" fontId="13" fillId="7" borderId="1" applyAlignment="1" pivotButton="0" quotePrefix="0" xfId="0">
      <alignment horizontal="center" vertical="center"/>
    </xf>
    <xf numFmtId="0" fontId="11" fillId="2" borderId="6" applyAlignment="1" pivotButton="0" quotePrefix="0" xfId="0">
      <alignment horizontal="left" vertical="center"/>
    </xf>
    <xf numFmtId="0" fontId="11" fillId="2" borderId="6" applyAlignment="1" pivotButton="0" quotePrefix="0" xfId="0">
      <alignment horizontal="center" vertical="center"/>
    </xf>
    <xf numFmtId="166" fontId="11" fillId="2" borderId="6" applyAlignment="1" pivotButton="0" quotePrefix="0" xfId="0">
      <alignment horizontal="center" vertical="center"/>
    </xf>
    <xf numFmtId="166" fontId="6" fillId="9" borderId="1" applyAlignment="1" pivotButton="0" quotePrefix="0" xfId="0">
      <alignment horizontal="center" vertical="center"/>
    </xf>
    <xf numFmtId="166" fontId="14" fillId="9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166" fontId="13" fillId="4" borderId="1" applyAlignment="1" pivotButton="0" quotePrefix="0" xfId="0">
      <alignment horizontal="center" vertical="center"/>
    </xf>
    <xf numFmtId="166" fontId="14" fillId="4" borderId="1" applyAlignment="1" pivotButton="0" quotePrefix="0" xfId="0">
      <alignment horizontal="center" vertical="center"/>
    </xf>
    <xf numFmtId="0" fontId="13" fillId="0" borderId="1" pivotButton="0" quotePrefix="0" xfId="0"/>
    <xf numFmtId="168" fontId="9" fillId="6" borderId="1" applyAlignment="1" pivotButton="0" quotePrefix="0" xfId="0">
      <alignment horizontal="center" vertical="center"/>
    </xf>
    <xf numFmtId="168" fontId="0" fillId="9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168" fontId="0" fillId="4" borderId="1" applyAlignment="1" pivotButton="0" quotePrefix="0" xfId="0">
      <alignment horizontal="center" vertical="center"/>
    </xf>
    <xf numFmtId="168" fontId="11" fillId="2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Shepherd Connect</author>
  </authors>
  <commentList>
    <comment ref="C3" authorId="0" shapeId="0">
      <text>
        <t>Parents + teachers + admins + attendants</t>
      </text>
    </comment>
    <comment ref="C4" authorId="0" shapeId="0">
      <text>
        <t>Typically 40–50 % of total users</t>
      </text>
    </comment>
    <comment ref="C5" authorId="0" shapeId="0">
      <text>
        <t>Used to estimate check-in volumes</t>
      </text>
    </comment>
    <comment ref="C6" authorId="0" shapeId="0">
      <text>
        <t>Usually 4, some months 5</t>
      </text>
    </comment>
    <comment ref="C7" authorId="0" shapeId="0">
      <text>
        <t>70 % = 560 families attend each Sunday</t>
      </text>
    </comment>
    <comment ref="C10" authorId="0" shapeId="0">
      <text>
        <t>Check Termii dashboard · adjust if you get a volume discount</t>
      </text>
    </comment>
    <comment ref="C11" authorId="0" shapeId="0">
      <text>
        <t>1 SMS to parent on check-in</t>
      </text>
    </comment>
    <comment ref="C12" authorId="0" shapeId="0">
      <text>
        <t>1 SMS to parent on pick-up</t>
      </text>
    </comment>
    <comment ref="C13" authorId="0" shapeId="0">
      <text>
        <t>Avg number of emergency alerts per month</t>
      </text>
    </comment>
    <comment ref="C14" authorId="0" shapeId="0">
      <text>
        <t>Admin-to-parent broadcast messages</t>
      </text>
    </comment>
    <comment ref="C15" authorId="0" shapeId="0">
      <text>
        <t>5 % use delegate OTP checkout</t>
      </text>
    </comment>
    <comment ref="C18" authorId="0" shapeId="0">
      <text>
        <t>Check Termii dashboard</t>
      </text>
    </comment>
    <comment ref="C19" authorId="0" shapeId="0">
      <text>
        <t>Monthly report to parents</t>
      </text>
    </comment>
    <comment ref="C20" authorId="0" shapeId="0">
      <text>
        <t>Miscellaneous email alerts</t>
      </text>
    </comment>
    <comment ref="C23" authorId="0" shapeId="0">
      <text>
        <t>YES or NO — requires approved WhatsApp Business API</t>
      </text>
    </comment>
    <comment ref="C24" authorId="0" shapeId="0">
      <text>
        <t>Approx. Meta conversation rate for Nigeria</t>
      </text>
    </comment>
    <comment ref="C25" authorId="0" shapeId="0">
      <text>
        <t>Check-in alert + report + 2 broadcasts</t>
      </text>
    </comment>
    <comment ref="C28" authorId="0" shapeId="0">
      <text>
        <t>Billed annually = $216/yr · includes DB, storage, 3 deployments</t>
      </text>
    </comment>
    <comment ref="C31" authorId="0" shapeId="0">
      <text>
        <t>e.g. shepherdconnect.org.ng — 0 if using .replit.app</t>
      </text>
    </comment>
    <comment ref="C34" authorId="0" shapeId="0">
      <text>
        <t>20 % extra credit to avoid running out mid-month</t>
      </text>
    </comment>
    <comment ref="C35" authorId="0" shapeId="0">
      <text>
        <t>Buy 2 months of Termii credit upfront as reserve</t>
      </text>
    </comment>
  </commentList>
</comments>
</file>

<file path=xl/comments/comment2.xml><?xml version="1.0" encoding="utf-8"?>
<comments xmlns="http://schemas.openxmlformats.org/spreadsheetml/2006/main">
  <authors>
    <author>Shepherd Connect</author>
  </authors>
  <commentList>
    <comment ref="C3" authorId="0" shapeId="0">
      <text>
        <t>Update to current CBN rate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5" customWidth="1" min="3" max="3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SHEPHERD CONNECT</t>
        </is>
      </c>
      <c r="G2" s="1" t="n"/>
    </row>
    <row r="3" ht="22" customHeight="1">
      <c r="A3" s="1" t="n"/>
      <c r="B3" s="3" t="inlineStr">
        <is>
          <t>Annual Operating Cost Planner — 2,000 Users</t>
        </is>
      </c>
      <c r="G3" s="1" t="n"/>
    </row>
    <row r="4" ht="22" customHeight="1">
      <c r="A4" s="1" t="n"/>
      <c r="B4" s="4" t="inlineStr">
        <is>
          <t>RCCG City of David  ·  Safe. Known. Celebrated.</t>
        </is>
      </c>
      <c r="G4" s="1" t="n"/>
    </row>
    <row r="5" ht="22" customHeight="1">
      <c r="A5" s="5" t="n"/>
      <c r="B5" s="6" t="inlineStr">
        <is>
          <t>⚠️  Yellow cells are editable inputs — change them to fit your actual usage</t>
        </is>
      </c>
      <c r="G5" s="5" t="n"/>
    </row>
    <row r="6" ht="22" customHeight="1"/>
    <row r="7" ht="22" customHeight="1"/>
    <row r="8">
      <c r="B8" t="inlineStr"/>
      <c r="C8" t="inlineStr"/>
    </row>
    <row r="9">
      <c r="B9" s="7" t="inlineStr">
        <is>
          <t>📌 HOW TO USE THIS FILE</t>
        </is>
      </c>
    </row>
    <row r="10">
      <c r="B10" s="8" t="inlineStr">
        <is>
          <t>1. Go to the ⚙️ Assumptions sheet</t>
        </is>
      </c>
      <c r="C10" s="9" t="inlineStr">
        <is>
          <t>Change yellow cells to match your church size &amp; usage</t>
        </is>
      </c>
    </row>
    <row r="11">
      <c r="B11" s="8" t="inlineStr">
        <is>
          <t>2. Go to 💰 Cost Summary</t>
        </is>
      </c>
      <c r="C11" s="9" t="inlineStr">
        <is>
          <t>See the full annual &amp; monthly cost breakdown</t>
        </is>
      </c>
    </row>
    <row r="12">
      <c r="B12" s="8" t="inlineStr">
        <is>
          <t>3. Go to 📅 Monthly Schedule</t>
        </is>
      </c>
      <c r="C12" s="9" t="inlineStr">
        <is>
          <t>See pay-as-you-go buffer month-by-month</t>
        </is>
      </c>
    </row>
    <row r="13">
      <c r="B13" s="8" t="inlineStr">
        <is>
          <t>4. Go to 📲 Termii Calculator</t>
        </is>
      </c>
      <c r="C13" s="9" t="inlineStr">
        <is>
          <t>Understand SMS / Email / WhatsApp costs in detail</t>
        </is>
      </c>
    </row>
    <row r="14">
      <c r="B14" t="inlineStr"/>
      <c r="C14" t="inlineStr"/>
    </row>
    <row r="15">
      <c r="B15" s="7" t="inlineStr">
        <is>
          <t>📌 INCLUDED SERVICES</t>
        </is>
      </c>
    </row>
    <row r="16">
      <c r="B16" s="8" t="inlineStr">
        <is>
          <t>Replit Core (hosting + DB + storage)</t>
        </is>
      </c>
      <c r="C16" s="9" t="inlineStr">
        <is>
          <t>Platform for running the live app</t>
        </is>
      </c>
    </row>
    <row r="17">
      <c r="B17" s="8" t="inlineStr">
        <is>
          <t>Termii SMS</t>
        </is>
      </c>
      <c r="C17" s="9" t="inlineStr">
        <is>
          <t>OTP, check-in alerts, emergency broadcasts</t>
        </is>
      </c>
    </row>
    <row r="18">
      <c r="B18" s="8" t="inlineStr">
        <is>
          <t>Termii Email</t>
        </is>
      </c>
      <c r="C18" s="9" t="inlineStr">
        <is>
          <t>Notifications, appraisal reports</t>
        </is>
      </c>
    </row>
    <row r="19">
      <c r="B19" s="8" t="inlineStr">
        <is>
          <t>Termii WhatsApp</t>
        </is>
      </c>
      <c r="C19" s="9" t="inlineStr">
        <is>
          <t>Rich-media alerts (requires Business API approval)</t>
        </is>
      </c>
    </row>
    <row r="20">
      <c r="B20" s="8" t="inlineStr">
        <is>
          <t>Domain name (optional)</t>
        </is>
      </c>
      <c r="C20" s="9" t="inlineStr">
        <is>
          <t>Custom domain like shepherdconnect.org.ng</t>
        </is>
      </c>
    </row>
    <row r="21">
      <c r="B21" s="8" t="inlineStr">
        <is>
          <t>PAYG top-up buffer</t>
        </is>
      </c>
      <c r="C21" s="9" t="inlineStr">
        <is>
          <t>Reserve to avoid service disruption mid-month</t>
        </is>
      </c>
    </row>
  </sheetData>
  <mergeCells count="6">
    <mergeCell ref="B4:F4"/>
    <mergeCell ref="B9:E9"/>
    <mergeCell ref="B2:F2"/>
    <mergeCell ref="B3:F3"/>
    <mergeCell ref="B5:F5"/>
    <mergeCell ref="B15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/>
  </sheetPr>
  <dimension ref="B1:D3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38" customWidth="1" min="4" max="4"/>
    <col width="5" customWidth="1" min="5" max="5"/>
  </cols>
  <sheetData>
    <row r="1" ht="28" customHeight="1">
      <c r="B1" s="10" t="inlineStr">
        <is>
          <t>⚙️  ASSUMPTIONS  —  Edit the yellow cells</t>
        </is>
      </c>
    </row>
    <row r="2" ht="20" customHeight="1">
      <c r="B2" s="11" t="inlineStr">
        <is>
          <t xml:space="preserve">  CHURCH &amp; USER BASE</t>
        </is>
      </c>
      <c r="C2" s="12" t="n"/>
      <c r="D2" s="13" t="n"/>
    </row>
    <row r="3" ht="20" customHeight="1">
      <c r="B3" s="14" t="inlineStr">
        <is>
          <t>Total registered users (all roles)</t>
        </is>
      </c>
      <c r="C3" s="15" t="n">
        <v>2000</v>
      </c>
      <c r="D3" s="16" t="inlineStr">
        <is>
          <t>ℹ  Parents + teachers + admins + attendants</t>
        </is>
      </c>
    </row>
    <row r="4" ht="20" customHeight="1">
      <c r="B4" s="14" t="inlineStr">
        <is>
          <t>Active parent accounts (receive notifications)</t>
        </is>
      </c>
      <c r="C4" s="15" t="n">
        <v>800</v>
      </c>
      <c r="D4" s="16" t="inlineStr">
        <is>
          <t>ℹ  Typically 40–50 % of total users</t>
        </is>
      </c>
    </row>
    <row r="5" ht="20" customHeight="1">
      <c r="B5" s="14" t="inlineStr">
        <is>
          <t>Average children per family</t>
        </is>
      </c>
      <c r="C5" s="17" t="n">
        <v>2</v>
      </c>
      <c r="D5" s="16" t="inlineStr">
        <is>
          <t>ℹ  Used to estimate check-in volumes</t>
        </is>
      </c>
    </row>
    <row r="6" ht="20" customHeight="1">
      <c r="B6" s="14" t="inlineStr">
        <is>
          <t>Sunday services per month</t>
        </is>
      </c>
      <c r="C6" s="18" t="n">
        <v>4</v>
      </c>
      <c r="D6" s="16" t="inlineStr">
        <is>
          <t>ℹ  Usually 4, some months 5</t>
        </is>
      </c>
    </row>
    <row r="7" ht="20" customHeight="1">
      <c r="B7" s="14" t="inlineStr">
        <is>
          <t>Attendance rate (% of families per service)</t>
        </is>
      </c>
      <c r="C7" s="19" t="n">
        <v>0.7</v>
      </c>
      <c r="D7" s="16" t="inlineStr">
        <is>
          <t>ℹ  70 % = 560 families attend each Sunday</t>
        </is>
      </c>
    </row>
    <row r="8" ht="20" customHeight="1"/>
    <row r="9" ht="20" customHeight="1">
      <c r="B9" s="11" t="inlineStr">
        <is>
          <t xml:space="preserve">  TERMII SMS</t>
        </is>
      </c>
      <c r="C9" s="12" t="n"/>
      <c r="D9" s="13" t="n"/>
    </row>
    <row r="10" ht="20" customHeight="1">
      <c r="B10" s="14" t="inlineStr">
        <is>
          <t>Termii SMS rate per message (USD)</t>
        </is>
      </c>
      <c r="C10" s="20" t="n">
        <v>0.04</v>
      </c>
      <c r="D10" s="16" t="inlineStr">
        <is>
          <t>ℹ  Check Termii dashboard · adjust if you get a volume discount</t>
        </is>
      </c>
    </row>
    <row r="11" ht="20" customHeight="1">
      <c r="B11" s="14" t="inlineStr">
        <is>
          <t>SMS per check-in event (per child)</t>
        </is>
      </c>
      <c r="C11" s="18" t="n">
        <v>1</v>
      </c>
      <c r="D11" s="16" t="inlineStr">
        <is>
          <t>ℹ  1 SMS to parent on check-in</t>
        </is>
      </c>
    </row>
    <row r="12" ht="20" customHeight="1">
      <c r="B12" s="14" t="inlineStr">
        <is>
          <t>SMS per check-out event (per child)</t>
        </is>
      </c>
      <c r="C12" s="18" t="n">
        <v>1</v>
      </c>
      <c r="D12" s="16" t="inlineStr">
        <is>
          <t>ℹ  1 SMS to parent on pick-up</t>
        </is>
      </c>
    </row>
    <row r="13" ht="20" customHeight="1">
      <c r="B13" s="14" t="inlineStr">
        <is>
          <t>Emergency broadcast SMS per month</t>
        </is>
      </c>
      <c r="C13" s="18" t="n">
        <v>2</v>
      </c>
      <c r="D13" s="16" t="inlineStr">
        <is>
          <t>ℹ  Avg number of emergency alerts per month</t>
        </is>
      </c>
    </row>
    <row r="14" ht="20" customHeight="1">
      <c r="B14" s="14" t="inlineStr">
        <is>
          <t>General broadcast SMS per month (to all parents)</t>
        </is>
      </c>
      <c r="C14" s="18" t="n">
        <v>1</v>
      </c>
      <c r="D14" s="16" t="inlineStr">
        <is>
          <t>ℹ  Admin-to-parent broadcast messages</t>
        </is>
      </c>
    </row>
    <row r="15" ht="20" customHeight="1">
      <c r="B15" s="14" t="inlineStr">
        <is>
          <t>OTP delegate pickup % (of weekly check-outs)</t>
        </is>
      </c>
      <c r="C15" s="19" t="n">
        <v>0.05</v>
      </c>
      <c r="D15" s="16" t="inlineStr">
        <is>
          <t>ℹ  5 % use delegate OTP checkout</t>
        </is>
      </c>
    </row>
    <row r="16" ht="20" customHeight="1"/>
    <row r="17" ht="20" customHeight="1">
      <c r="B17" s="11" t="inlineStr">
        <is>
          <t xml:space="preserve">  TERMII EMAIL</t>
        </is>
      </c>
      <c r="C17" s="12" t="n"/>
      <c r="D17" s="13" t="n"/>
    </row>
    <row r="18" ht="20" customHeight="1">
      <c r="B18" s="14" t="inlineStr">
        <is>
          <t>Termii email rate per message (USD)</t>
        </is>
      </c>
      <c r="C18" s="20" t="n">
        <v>0.01</v>
      </c>
      <c r="D18" s="16" t="inlineStr">
        <is>
          <t>ℹ  Check Termii dashboard</t>
        </is>
      </c>
    </row>
    <row r="19" ht="20" customHeight="1">
      <c r="B19" s="14" t="inlineStr">
        <is>
          <t>Appraisal (Shepherd Report) emails per child/month</t>
        </is>
      </c>
      <c r="C19" s="18" t="n">
        <v>1</v>
      </c>
      <c r="D19" s="16" t="inlineStr">
        <is>
          <t>ℹ  Monthly report to parents</t>
        </is>
      </c>
    </row>
    <row r="20" ht="20" customHeight="1">
      <c r="B20" s="14" t="inlineStr">
        <is>
          <t>General notification emails per parent/month</t>
        </is>
      </c>
      <c r="C20" s="18" t="n">
        <v>2</v>
      </c>
      <c r="D20" s="16" t="inlineStr">
        <is>
          <t>ℹ  Miscellaneous email alerts</t>
        </is>
      </c>
    </row>
    <row r="21" ht="20" customHeight="1"/>
    <row r="22" ht="20" customHeight="1">
      <c r="B22" s="11" t="inlineStr">
        <is>
          <t xml:space="preserve">  TERMII WHATSAPP</t>
        </is>
      </c>
      <c r="C22" s="12" t="n"/>
      <c r="D22" s="13" t="n"/>
    </row>
    <row r="23" ht="20" customHeight="1">
      <c r="B23" s="14" t="inlineStr">
        <is>
          <t>WhatsApp enabled?</t>
        </is>
      </c>
      <c r="C23" s="21" t="inlineStr">
        <is>
          <t>NO</t>
        </is>
      </c>
      <c r="D23" s="16" t="inlineStr">
        <is>
          <t>ℹ  YES or NO — requires approved WhatsApp Business API</t>
        </is>
      </c>
    </row>
    <row r="24" ht="20" customHeight="1">
      <c r="B24" s="14" t="inlineStr">
        <is>
          <t>Termii WhatsApp rate per message (USD)</t>
        </is>
      </c>
      <c r="C24" s="20" t="n">
        <v>0.07000000000000001</v>
      </c>
      <c r="D24" s="16" t="inlineStr">
        <is>
          <t>ℹ  Approx. Meta conversation rate for Nigeria</t>
        </is>
      </c>
    </row>
    <row r="25" ht="20" customHeight="1">
      <c r="B25" s="14" t="inlineStr">
        <is>
          <t>WhatsApp messages per parent per month</t>
        </is>
      </c>
      <c r="C25" s="18" t="n">
        <v>4</v>
      </c>
      <c r="D25" s="16" t="inlineStr">
        <is>
          <t>ℹ  Check-in alert + report + 2 broadcasts</t>
        </is>
      </c>
    </row>
    <row r="26" ht="20" customHeight="1"/>
    <row r="27" ht="20" customHeight="1">
      <c r="B27" s="11" t="inlineStr">
        <is>
          <t xml:space="preserve">  PLATFORM (REPLIT)</t>
        </is>
      </c>
      <c r="C27" s="12" t="n"/>
      <c r="D27" s="13" t="n"/>
    </row>
    <row r="28" ht="20" customHeight="1">
      <c r="B28" s="14" t="inlineStr">
        <is>
          <t>Replit Core plan — monthly cost (USD)</t>
        </is>
      </c>
      <c r="C28" s="20" t="n">
        <v>18</v>
      </c>
      <c r="D28" s="16" t="inlineStr">
        <is>
          <t>ℹ  Billed annually = $216/yr · includes DB, storage, 3 deployments</t>
        </is>
      </c>
    </row>
    <row r="29" ht="20" customHeight="1"/>
    <row r="30" ht="20" customHeight="1">
      <c r="B30" s="11" t="inlineStr">
        <is>
          <t xml:space="preserve">  DOMAIN (OPTIONAL)</t>
        </is>
      </c>
      <c r="C30" s="12" t="n"/>
      <c r="D30" s="13" t="n"/>
    </row>
    <row r="31" ht="20" customHeight="1">
      <c r="B31" s="14" t="inlineStr">
        <is>
          <t>Custom domain cost per year (USD)</t>
        </is>
      </c>
      <c r="C31" s="20" t="n">
        <v>15</v>
      </c>
      <c r="D31" s="16" t="inlineStr">
        <is>
          <t>ℹ  e.g. shepherdconnect.org.ng — 0 if using .replit.app</t>
        </is>
      </c>
    </row>
    <row r="32" ht="20" customHeight="1"/>
    <row r="33" ht="20" customHeight="1">
      <c r="B33" s="11" t="inlineStr">
        <is>
          <t xml:space="preserve">  PAY-AS-YOU-GO BUFFER</t>
        </is>
      </c>
      <c r="C33" s="12" t="n"/>
      <c r="D33" s="13" t="n"/>
    </row>
    <row r="34" ht="20" customHeight="1">
      <c r="B34" s="14" t="inlineStr">
        <is>
          <t>PAYG monthly buffer (% on top of estimated Termii cost)</t>
        </is>
      </c>
      <c r="C34" s="19" t="n">
        <v>0.2</v>
      </c>
      <c r="D34" s="16" t="inlineStr">
        <is>
          <t>ℹ  20 % extra credit to avoid running out mid-month</t>
        </is>
      </c>
    </row>
    <row r="35" ht="20" customHeight="1">
      <c r="B35" s="14" t="inlineStr">
        <is>
          <t>Buffer pre-load months (upfront credit purchase)</t>
        </is>
      </c>
      <c r="C35" s="18" t="n">
        <v>2</v>
      </c>
      <c r="D35" s="16" t="inlineStr">
        <is>
          <t>ℹ  Buy 2 months of Termii credit upfront as reserve</t>
        </is>
      </c>
    </row>
  </sheetData>
  <mergeCells count="8">
    <mergeCell ref="B33:D33"/>
    <mergeCell ref="B1:D1"/>
    <mergeCell ref="B22:D22"/>
    <mergeCell ref="B17:D17"/>
    <mergeCell ref="B9:D9"/>
    <mergeCell ref="B27:D27"/>
    <mergeCell ref="B30:D30"/>
    <mergeCell ref="B2:D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B1:F2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20" customWidth="1" min="4" max="4"/>
    <col width="20" customWidth="1" min="5" max="5"/>
    <col width="5" customWidth="1" min="6" max="6"/>
  </cols>
  <sheetData>
    <row r="1" ht="28" customHeight="1">
      <c r="B1" s="10" t="inlineStr">
        <is>
          <t>💰  ANNUAL COST SUMMARY  —  Shepherd Connect (2,000 Users)</t>
        </is>
      </c>
    </row>
    <row r="2" ht="20" customHeight="1">
      <c r="B2" s="22" t="inlineStr">
        <is>
          <t>Cost Item</t>
        </is>
      </c>
      <c r="C2" s="22" t="inlineStr">
        <is>
          <t>Monthly (USD)</t>
        </is>
      </c>
      <c r="D2" s="22" t="inlineStr">
        <is>
          <t>Annual (USD)</t>
        </is>
      </c>
      <c r="E2" s="22" t="inlineStr">
        <is>
          <t>Notes</t>
        </is>
      </c>
    </row>
    <row r="3" ht="20" customHeight="1">
      <c r="B3" s="23" t="inlineStr">
        <is>
          <t xml:space="preserve">  1. PLATFORM — Replit Core</t>
        </is>
      </c>
    </row>
    <row r="4" ht="20" customHeight="1">
      <c r="B4" s="14" t="inlineStr">
        <is>
          <t>Replit Core (hosting + DB + storage + deployments)</t>
        </is>
      </c>
      <c r="C4" s="24">
        <f>'⚙️ Assumptions'!C28</f>
        <v/>
      </c>
      <c r="D4" s="24">
        <f>'⚙️ Assumptions'!C28*12</f>
        <v/>
      </c>
      <c r="E4" s="16" t="inlineStr">
        <is>
          <t>billed $216/yr — includes PostgreSQL, object storage, 3 deployments</t>
        </is>
      </c>
    </row>
    <row r="5" ht="20" customHeight="1">
      <c r="B5" s="23" t="inlineStr">
        <is>
          <t xml:space="preserve">  2. TERMII — SMS Notifications</t>
        </is>
      </c>
    </row>
    <row r="6" ht="20" customHeight="1">
      <c r="B6" s="14" t="inlineStr">
        <is>
          <t>SMS — check-in / check-out / OTP / broadcasts</t>
        </is>
      </c>
      <c r="C6" s="24">
        <f>F6*'⚙️ Assumptions'!C10</f>
        <v/>
      </c>
      <c r="D6" s="24">
        <f>C6*12</f>
        <v/>
      </c>
      <c r="E6" s="16" t="inlineStr">
        <is>
          <t>Volume auto-calculated from Assumptions</t>
        </is>
      </c>
      <c r="F6" s="25">
        <f>ROUND(('⚙️ Assumptions'!C4*'⚙️ Assumptions'!C7*'⚙️ Assumptions'!C5*'⚙️ Assumptions'!C6*('⚙️ Assumptions'!C11+'⚙️ Assumptions'!C12))+('⚙️ Assumptions'!C4*'⚙️ Assumptions'!C13)+('⚙️ Assumptions'!C4*'⚙️ Assumptions'!C14)+('⚙️ Assumptions'!C4*'⚙️ Assumptions'!C7*'⚙️ Assumptions'!C5*'⚙️ Assumptions'!C6*'⚙️ Assumptions'!C15),0)</f>
        <v/>
      </c>
    </row>
    <row r="7" ht="20" customHeight="1">
      <c r="B7" s="26" t="inlineStr">
        <is>
          <t xml:space="preserve">  ↳ Estimated SMS messages per month</t>
        </is>
      </c>
      <c r="C7" s="27">
        <f>F6</f>
        <v/>
      </c>
      <c r="D7" s="27">
        <f>F6*12</f>
        <v/>
      </c>
      <c r="E7" s="16" t="inlineStr">
        <is>
          <t>Change attendance rate &amp; family size in Assumptions</t>
        </is>
      </c>
    </row>
    <row r="8" ht="20" customHeight="1">
      <c r="B8" s="23" t="inlineStr">
        <is>
          <t xml:space="preserve">  3. TERMII — Email Notifications</t>
        </is>
      </c>
    </row>
    <row r="9" ht="20" customHeight="1">
      <c r="B9" s="14" t="inlineStr">
        <is>
          <t>Email — Shepherd Reports + general notifications</t>
        </is>
      </c>
      <c r="C9" s="24">
        <f>F9*'⚙️ Assumptions'!C18</f>
        <v/>
      </c>
      <c r="D9" s="24">
        <f>C9*12</f>
        <v/>
      </c>
      <c r="E9" s="16" t="inlineStr"/>
      <c r="F9" s="25">
        <f>ROUND('⚙️ Assumptions'!C4*'⚙️ Assumptions'!C5*'⚙️ Assumptions'!C19+'⚙️ Assumptions'!C4*'⚙️ Assumptions'!C20,0)</f>
        <v/>
      </c>
    </row>
    <row r="10" ht="20" customHeight="1">
      <c r="B10" s="26" t="inlineStr">
        <is>
          <t xml:space="preserve">  ↳ Estimated emails per month</t>
        </is>
      </c>
      <c r="C10" s="27">
        <f>F9</f>
        <v/>
      </c>
      <c r="D10" s="27">
        <f>F9*12</f>
        <v/>
      </c>
      <c r="E10" s="16" t="inlineStr"/>
    </row>
    <row r="11" ht="20" customHeight="1">
      <c r="B11" s="23" t="inlineStr">
        <is>
          <t xml:space="preserve">  4. TERMII — WhatsApp (requires Business API approval)</t>
        </is>
      </c>
    </row>
    <row r="12" ht="20" customHeight="1">
      <c r="B12" s="28" t="inlineStr">
        <is>
          <t>WhatsApp — check-in alerts + reports + broadcasts</t>
        </is>
      </c>
      <c r="C12" s="29">
        <f>F12*'⚙️ Assumptions'!C24</f>
        <v/>
      </c>
      <c r="D12" s="29">
        <f>C12*12</f>
        <v/>
      </c>
      <c r="E12" s="16" t="inlineStr">
        <is>
          <t>Set WhatsApp enabled? = YES in Assumptions to activate</t>
        </is>
      </c>
      <c r="F12" s="25">
        <f>IF('⚙️ Assumptions'!C23="YES",ROUND('⚙️ Assumptions'!C4*'⚙️ Assumptions'!C25,0),0)</f>
        <v/>
      </c>
    </row>
    <row r="13" ht="20" customHeight="1">
      <c r="B13" s="26" t="inlineStr">
        <is>
          <t xml:space="preserve">  ↳ Estimated WA messages per month</t>
        </is>
      </c>
      <c r="C13" s="27">
        <f>F12</f>
        <v/>
      </c>
      <c r="D13" s="27">
        <f>F12*12</f>
        <v/>
      </c>
      <c r="E13" s="16" t="inlineStr"/>
    </row>
    <row r="14" ht="20" customHeight="1">
      <c r="B14" s="23" t="inlineStr">
        <is>
          <t xml:space="preserve">  5. PAY-AS-YOU-GO BUFFER (Reserve Credit)</t>
        </is>
      </c>
    </row>
    <row r="15" ht="20" customHeight="1">
      <c r="B15" s="30" t="inlineStr">
        <is>
          <t>Termii PAYG buffer (% on top of monthly Termii cost)</t>
        </is>
      </c>
      <c r="C15" s="31">
        <f>(C6+C9+C12)*'⚙️ Assumptions'!C34</f>
        <v/>
      </c>
      <c r="D15" s="31">
        <f>(C6+C9+C12)*'⚙️ Assumptions'!C34*12</f>
        <v/>
      </c>
      <c r="E15" s="16" t="inlineStr">
        <is>
          <t>Prevents service disruption if usage spikes mid-month</t>
        </is>
      </c>
    </row>
    <row r="16" ht="20" customHeight="1">
      <c r="B16" s="30" t="inlineStr">
        <is>
          <t>Upfront pre-load (buffer months of Termii credit bought on day 1)</t>
        </is>
      </c>
      <c r="C16" s="31" t="inlineStr">
        <is>
          <t>—</t>
        </is>
      </c>
      <c r="D16" s="31">
        <f>(C6+C9+C12)*(1+'⚙️ Assumptions'!C34)*'⚙️ Assumptions'!C35</f>
        <v/>
      </c>
      <c r="E16" s="16" t="inlineStr">
        <is>
          <t>One-time extra credit purchase as safety reserve</t>
        </is>
      </c>
    </row>
    <row r="17" ht="20" customHeight="1">
      <c r="B17" s="23" t="inlineStr">
        <is>
          <t xml:space="preserve">  6. OPTIONAL — Custom Domain Name</t>
        </is>
      </c>
    </row>
    <row r="18" ht="20" customHeight="1">
      <c r="B18" s="14" t="inlineStr">
        <is>
          <t>Custom domain (e.g. shepherdconnect.org.ng)</t>
        </is>
      </c>
      <c r="C18" s="24">
        <f>ROUND('⚙️ Assumptions'!C31/12,2)</f>
        <v/>
      </c>
      <c r="D18" s="24">
        <f>'⚙️ Assumptions'!C31</f>
        <v/>
      </c>
      <c r="E18" s="16" t="inlineStr">
        <is>
          <t>Set to 0 in Assumptions if using free .replit.app domain</t>
        </is>
      </c>
    </row>
    <row r="20" ht="4" customHeight="1"/>
    <row r="21" ht="24" customHeight="1">
      <c r="B21" s="32" t="inlineStr">
        <is>
          <t>🔷  TOTAL ESTIMATED ANNUAL COST (excl. upfront buffer)</t>
        </is>
      </c>
      <c r="C21" s="33">
        <f>C4+C6+C9+C12+C15+ROUND('⚙️ Assumptions'!C31/12,2)</f>
        <v/>
      </c>
      <c r="D21" s="33">
        <f>D4+D6+D9+D12+D15+'⚙️ Assumptions'!C31</f>
        <v/>
      </c>
      <c r="E21" s="34" t="inlineStr"/>
    </row>
    <row r="22" ht="22" customHeight="1">
      <c r="B22" s="35" t="inlineStr">
        <is>
          <t>⭐  FIRST-YEAR TOTAL (includes upfront pre-load buffer)</t>
        </is>
      </c>
      <c r="C22" s="36" t="inlineStr">
        <is>
          <t>—</t>
        </is>
      </c>
      <c r="D22" s="37">
        <f>D21+D16</f>
        <v/>
      </c>
      <c r="E22" s="38" t="inlineStr"/>
    </row>
    <row r="24">
      <c r="B24" s="16" t="inlineStr">
        <is>
          <t>💡  Exchange rate: All costs above are in USD. Convert to NGN at the rate of your choice. At ₦1,600/$1, multiply any USD figure by 1600.</t>
        </is>
      </c>
      <c r="C24" s="12" t="n"/>
      <c r="D24" s="12" t="n"/>
      <c r="E24" s="13" t="n"/>
    </row>
  </sheetData>
  <mergeCells count="8">
    <mergeCell ref="B17:E17"/>
    <mergeCell ref="B1:E1"/>
    <mergeCell ref="B8:E8"/>
    <mergeCell ref="B11:E11"/>
    <mergeCell ref="B3:E3"/>
    <mergeCell ref="B5:E5"/>
    <mergeCell ref="B24:E24"/>
    <mergeCell ref="B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EA5E9"/>
    <outlinePr summaryBelow="1" summaryRight="1"/>
    <pageSetUpPr/>
  </sheetPr>
  <dimension ref="B1:F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5" customWidth="1" min="7" max="7"/>
  </cols>
  <sheetData>
    <row r="1" ht="28" customHeight="1">
      <c r="B1" s="10" t="inlineStr">
        <is>
          <t>📲  TERMII USAGE DETAIL &amp; RATE CARD</t>
        </is>
      </c>
    </row>
    <row r="2" ht="20" customHeight="1">
      <c r="B2" s="22" t="inlineStr">
        <is>
          <t>Channel</t>
        </is>
      </c>
      <c r="C2" s="22" t="inlineStr">
        <is>
          <t>Messages/Month</t>
        </is>
      </c>
      <c r="D2" s="22" t="inlineStr">
        <is>
          <t>Rate (USD)</t>
        </is>
      </c>
      <c r="E2" s="22" t="inlineStr">
        <is>
          <t>Monthly Cost</t>
        </is>
      </c>
      <c r="F2" s="22" t="inlineStr">
        <is>
          <t>Annual Cost</t>
        </is>
      </c>
    </row>
    <row r="3">
      <c r="B3" s="23" t="inlineStr">
        <is>
          <t xml:space="preserve">  SMS MESSAGES</t>
        </is>
      </c>
    </row>
    <row r="4" ht="20" customHeight="1">
      <c r="B4" s="39" t="inlineStr">
        <is>
          <t>Check-in SMS (parent alert on child arrival)</t>
        </is>
      </c>
      <c r="C4" s="40">
        <f>ROUND('⚙️ Assumptions'!C4*'⚙️ Assumptions'!C7*'⚙️ Assumptions'!C5*'⚙️ Assumptions'!C6*'⚙️ Assumptions'!C11,0)</f>
        <v/>
      </c>
      <c r="D4" s="41">
        <f>'⚙️ Assumptions'!C10</f>
        <v/>
      </c>
      <c r="E4" s="42">
        <f>C4*D4</f>
        <v/>
      </c>
      <c r="F4" s="42">
        <f>E4*12</f>
        <v/>
      </c>
    </row>
    <row r="5" ht="20" customHeight="1">
      <c r="B5" s="39" t="inlineStr">
        <is>
          <t>Check-out SMS (parent alert on pick-up)</t>
        </is>
      </c>
      <c r="C5" s="40">
        <f>ROUND('⚙️ Assumptions'!C4*'⚙️ Assumptions'!C7*'⚙️ Assumptions'!C5*'⚙️ Assumptions'!C6*'⚙️ Assumptions'!C12,0)</f>
        <v/>
      </c>
      <c r="D5" s="41">
        <f>'⚙️ Assumptions'!C10</f>
        <v/>
      </c>
      <c r="E5" s="42">
        <f>C5*D5</f>
        <v/>
      </c>
      <c r="F5" s="42">
        <f>E5*12</f>
        <v/>
      </c>
    </row>
    <row r="6" ht="20" customHeight="1">
      <c r="B6" s="14" t="inlineStr">
        <is>
          <t>Emergency broadcast (to all parents)</t>
        </is>
      </c>
      <c r="C6" s="43">
        <f>ROUND('⚙️ Assumptions'!C4*'⚙️ Assumptions'!C13,0)</f>
        <v/>
      </c>
      <c r="D6" s="44">
        <f>'⚙️ Assumptions'!C10</f>
        <v/>
      </c>
      <c r="E6" s="45">
        <f>C6*D6</f>
        <v/>
      </c>
      <c r="F6" s="45">
        <f>E6*12</f>
        <v/>
      </c>
    </row>
    <row r="7" ht="20" customHeight="1">
      <c r="B7" s="14" t="inlineStr">
        <is>
          <t>Admin broadcast (to all parents)</t>
        </is>
      </c>
      <c r="C7" s="43">
        <f>ROUND('⚙️ Assumptions'!C4*'⚙️ Assumptions'!C14,0)</f>
        <v/>
      </c>
      <c r="D7" s="44">
        <f>'⚙️ Assumptions'!C10</f>
        <v/>
      </c>
      <c r="E7" s="45">
        <f>C7*D7</f>
        <v/>
      </c>
      <c r="F7" s="45">
        <f>E7*12</f>
        <v/>
      </c>
    </row>
    <row r="8" ht="20" customHeight="1">
      <c r="B8" s="14" t="inlineStr">
        <is>
          <t>OTP delegate checkout SMS</t>
        </is>
      </c>
      <c r="C8" s="43">
        <f>ROUND('⚙️ Assumptions'!C4*'⚙️ Assumptions'!C7*'⚙️ Assumptions'!C5*'⚙️ Assumptions'!C6*'⚙️ Assumptions'!C15,0)</f>
        <v/>
      </c>
      <c r="D8" s="44">
        <f>'⚙️ Assumptions'!C10</f>
        <v/>
      </c>
      <c r="E8" s="45">
        <f>C8*D8</f>
        <v/>
      </c>
      <c r="F8" s="45">
        <f>E8*12</f>
        <v/>
      </c>
    </row>
    <row r="9" ht="20" customHeight="1">
      <c r="B9" s="46" t="inlineStr">
        <is>
          <t>SMS Sub-total</t>
        </is>
      </c>
      <c r="C9" s="40">
        <f>SUM(C4:C8)</f>
        <v/>
      </c>
      <c r="D9" s="47" t="inlineStr">
        <is>
          <t>—</t>
        </is>
      </c>
      <c r="E9" s="48">
        <f>SUM(E4:E8)</f>
        <v/>
      </c>
      <c r="F9" s="48">
        <f>E9*12</f>
        <v/>
      </c>
    </row>
    <row r="11">
      <c r="B11" s="23" t="inlineStr">
        <is>
          <t xml:space="preserve">  EMAIL NOTIFICATIONS</t>
        </is>
      </c>
    </row>
    <row r="12" ht="20" customHeight="1">
      <c r="B12" s="49" t="inlineStr">
        <is>
          <t>Shepherd Report (appraisal) emails to parents</t>
        </is>
      </c>
      <c r="C12" s="50">
        <f>ROUND('⚙️ Assumptions'!C4*'⚙️ Assumptions'!C5*'⚙️ Assumptions'!C19,0)</f>
        <v/>
      </c>
      <c r="D12" s="51">
        <f>'⚙️ Assumptions'!C18</f>
        <v/>
      </c>
      <c r="E12" s="52">
        <f>C12*D12</f>
        <v/>
      </c>
      <c r="F12" s="52">
        <f>E12*12</f>
        <v/>
      </c>
    </row>
    <row r="13" ht="20" customHeight="1">
      <c r="B13" s="49" t="inlineStr">
        <is>
          <t>General notification emails</t>
        </is>
      </c>
      <c r="C13" s="50">
        <f>ROUND('⚙️ Assumptions'!C4*'⚙️ Assumptions'!C20,0)</f>
        <v/>
      </c>
      <c r="D13" s="51">
        <f>'⚙️ Assumptions'!C18</f>
        <v/>
      </c>
      <c r="E13" s="52">
        <f>C13*D13</f>
        <v/>
      </c>
      <c r="F13" s="52">
        <f>E13*12</f>
        <v/>
      </c>
    </row>
    <row r="14" ht="20" customHeight="1">
      <c r="B14" s="53" t="inlineStr">
        <is>
          <t>Email Sub-total</t>
        </is>
      </c>
      <c r="C14" s="50">
        <f>SUM(C12:C13)</f>
        <v/>
      </c>
      <c r="D14" s="54" t="inlineStr">
        <is>
          <t>—</t>
        </is>
      </c>
      <c r="E14" s="55">
        <f>SUM(E12:E13)</f>
        <v/>
      </c>
      <c r="F14" s="55">
        <f>E14*12</f>
        <v/>
      </c>
    </row>
    <row r="16">
      <c r="B16" s="23" t="inlineStr">
        <is>
          <t xml:space="preserve">  WHATSAPP  (set 'WhatsApp enabled? = YES' in Assumptions to activate)</t>
        </is>
      </c>
    </row>
    <row r="17" ht="20" customHeight="1">
      <c r="B17" s="28" t="inlineStr">
        <is>
          <t>WhatsApp messages (check-in, reports, broadcasts)</t>
        </is>
      </c>
      <c r="C17" s="56">
        <f>IF('⚙️ Assumptions'!C23="YES",ROUND('⚙️ Assumptions'!C4*'⚙️ Assumptions'!C25,0),0)</f>
        <v/>
      </c>
      <c r="D17" s="57">
        <f>'⚙️ Assumptions'!C24</f>
        <v/>
      </c>
      <c r="E17" s="58">
        <f>C17*D17</f>
        <v/>
      </c>
      <c r="F17" s="58">
        <f>E17*12</f>
        <v/>
      </c>
    </row>
    <row r="18" ht="20" customHeight="1">
      <c r="B18" s="59" t="inlineStr">
        <is>
          <t>WhatsApp Sub-total</t>
        </is>
      </c>
      <c r="C18" s="56">
        <f>C17</f>
        <v/>
      </c>
      <c r="D18" s="60" t="inlineStr">
        <is>
          <t>—</t>
        </is>
      </c>
      <c r="E18" s="61">
        <f>E17</f>
        <v/>
      </c>
      <c r="F18" s="61">
        <f>E18*12</f>
        <v/>
      </c>
    </row>
    <row r="20" ht="24" customHeight="1">
      <c r="B20" s="62" t="inlineStr">
        <is>
          <t>🔷  TERMII TOTAL</t>
        </is>
      </c>
      <c r="C20" s="63" t="inlineStr">
        <is>
          <t>—</t>
        </is>
      </c>
      <c r="D20" s="63" t="inlineStr">
        <is>
          <t>—</t>
        </is>
      </c>
      <c r="E20" s="64">
        <f>E9+E14+E18</f>
        <v/>
      </c>
      <c r="F20" s="64">
        <f>F9+F14+F18</f>
        <v/>
      </c>
    </row>
    <row r="22">
      <c r="B22" s="16" t="inlineStr">
        <is>
          <t>📌  Termii PAYG plans: purchase credit in bundles — $10, $25, $50, $100, $200. Unused credit rolls over. Rates above are Termii's standard rates; request a volume discount if monthly SMS &gt; 5,000.</t>
        </is>
      </c>
      <c r="C22" s="12" t="n"/>
      <c r="D22" s="12" t="n"/>
      <c r="E22" s="12" t="n"/>
      <c r="F22" s="13" t="n"/>
    </row>
    <row r="23">
      <c r="B23" s="16" t="inlineStr">
        <is>
          <t>📌  WhatsApp requires Meta-approved WhatsApp Business API. Termii acts as BSP (Business Solution Provider). Apply at api.termii.com. Not available on a trial Termii account.</t>
        </is>
      </c>
      <c r="C23" s="12" t="n"/>
      <c r="D23" s="12" t="n"/>
      <c r="E23" s="12" t="n"/>
      <c r="F23" s="13" t="n"/>
    </row>
  </sheetData>
  <mergeCells count="6">
    <mergeCell ref="B16:F16"/>
    <mergeCell ref="B11:F11"/>
    <mergeCell ref="B3:F3"/>
    <mergeCell ref="B23:F23"/>
    <mergeCell ref="B22:F22"/>
    <mergeCell ref="B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B1:I1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5" customWidth="1" min="9" max="9"/>
  </cols>
  <sheetData>
    <row r="1" ht="28" customHeight="1">
      <c r="B1" s="10" t="inlineStr">
        <is>
          <t>📅  MONTHLY CASH FLOW SCHEDULE — 12 Months</t>
        </is>
      </c>
    </row>
    <row r="2" ht="20" customHeight="1">
      <c r="B2" s="22" t="inlineStr">
        <is>
          <t>Month</t>
        </is>
      </c>
      <c r="C2" s="22" t="inlineStr">
        <is>
          <t>Replit</t>
        </is>
      </c>
      <c r="D2" s="22" t="inlineStr">
        <is>
          <t>SMS Cost</t>
        </is>
      </c>
      <c r="E2" s="22" t="inlineStr">
        <is>
          <t>Email Cost</t>
        </is>
      </c>
      <c r="F2" s="22" t="inlineStr">
        <is>
          <t>WA Cost</t>
        </is>
      </c>
      <c r="G2" s="22" t="inlineStr">
        <is>
          <t>PAYG Buffer</t>
        </is>
      </c>
      <c r="H2" s="22" t="inlineStr">
        <is>
          <t>Month Total</t>
        </is>
      </c>
      <c r="I2" s="22" t="inlineStr">
        <is>
          <t>Cumulative</t>
        </is>
      </c>
    </row>
    <row r="3" ht="20" customHeight="1">
      <c r="B3" s="46" t="inlineStr">
        <is>
          <t>January</t>
        </is>
      </c>
      <c r="C3" s="65">
        <f>'💰 Cost Summary'!C4</f>
        <v/>
      </c>
      <c r="D3" s="65">
        <f>'💰 Cost Summary'!C6</f>
        <v/>
      </c>
      <c r="E3" s="65">
        <f>'💰 Cost Summary'!C9</f>
        <v/>
      </c>
      <c r="F3" s="65">
        <f>'💰 Cost Summary'!C12</f>
        <v/>
      </c>
      <c r="G3" s="65">
        <f>'💰 Cost Summary'!C15</f>
        <v/>
      </c>
      <c r="H3" s="48">
        <f>SUM(C3:G3)</f>
        <v/>
      </c>
      <c r="I3" s="66">
        <f>H3</f>
        <v/>
      </c>
    </row>
    <row r="4" ht="20" customHeight="1">
      <c r="B4" s="67" t="inlineStr">
        <is>
          <t>February</t>
        </is>
      </c>
      <c r="C4" s="27">
        <f>'💰 Cost Summary'!C4</f>
        <v/>
      </c>
      <c r="D4" s="27">
        <f>'💰 Cost Summary'!C6</f>
        <v/>
      </c>
      <c r="E4" s="27">
        <f>'💰 Cost Summary'!C9</f>
        <v/>
      </c>
      <c r="F4" s="27">
        <f>'💰 Cost Summary'!C12</f>
        <v/>
      </c>
      <c r="G4" s="27">
        <f>'💰 Cost Summary'!C15</f>
        <v/>
      </c>
      <c r="H4" s="68">
        <f>SUM(C4:G4)</f>
        <v/>
      </c>
      <c r="I4" s="69">
        <f>I3+H4</f>
        <v/>
      </c>
    </row>
    <row r="5" ht="20" customHeight="1">
      <c r="B5" s="46" t="inlineStr">
        <is>
          <t>March</t>
        </is>
      </c>
      <c r="C5" s="65">
        <f>'💰 Cost Summary'!C4</f>
        <v/>
      </c>
      <c r="D5" s="65">
        <f>'💰 Cost Summary'!C6</f>
        <v/>
      </c>
      <c r="E5" s="65">
        <f>'💰 Cost Summary'!C9</f>
        <v/>
      </c>
      <c r="F5" s="65">
        <f>'💰 Cost Summary'!C12</f>
        <v/>
      </c>
      <c r="G5" s="65">
        <f>'💰 Cost Summary'!C15</f>
        <v/>
      </c>
      <c r="H5" s="48">
        <f>SUM(C5:G5)</f>
        <v/>
      </c>
      <c r="I5" s="66">
        <f>I4+H5</f>
        <v/>
      </c>
    </row>
    <row r="6" ht="20" customHeight="1">
      <c r="B6" s="67" t="inlineStr">
        <is>
          <t>April</t>
        </is>
      </c>
      <c r="C6" s="27">
        <f>'💰 Cost Summary'!C4</f>
        <v/>
      </c>
      <c r="D6" s="27">
        <f>'💰 Cost Summary'!C6</f>
        <v/>
      </c>
      <c r="E6" s="27">
        <f>'💰 Cost Summary'!C9</f>
        <v/>
      </c>
      <c r="F6" s="27">
        <f>'💰 Cost Summary'!C12</f>
        <v/>
      </c>
      <c r="G6" s="27">
        <f>'💰 Cost Summary'!C15</f>
        <v/>
      </c>
      <c r="H6" s="68">
        <f>SUM(C6:G6)</f>
        <v/>
      </c>
      <c r="I6" s="69">
        <f>I5+H6</f>
        <v/>
      </c>
    </row>
    <row r="7" ht="20" customHeight="1">
      <c r="B7" s="46" t="inlineStr">
        <is>
          <t>May</t>
        </is>
      </c>
      <c r="C7" s="65">
        <f>'💰 Cost Summary'!C4</f>
        <v/>
      </c>
      <c r="D7" s="65">
        <f>'💰 Cost Summary'!C6</f>
        <v/>
      </c>
      <c r="E7" s="65">
        <f>'💰 Cost Summary'!C9</f>
        <v/>
      </c>
      <c r="F7" s="65">
        <f>'💰 Cost Summary'!C12</f>
        <v/>
      </c>
      <c r="G7" s="65">
        <f>'💰 Cost Summary'!C15</f>
        <v/>
      </c>
      <c r="H7" s="48">
        <f>SUM(C7:G7)</f>
        <v/>
      </c>
      <c r="I7" s="66">
        <f>I6+H7</f>
        <v/>
      </c>
    </row>
    <row r="8" ht="20" customHeight="1">
      <c r="B8" s="67" t="inlineStr">
        <is>
          <t>June</t>
        </is>
      </c>
      <c r="C8" s="27">
        <f>'💰 Cost Summary'!C4</f>
        <v/>
      </c>
      <c r="D8" s="27">
        <f>'💰 Cost Summary'!C6</f>
        <v/>
      </c>
      <c r="E8" s="27">
        <f>'💰 Cost Summary'!C9</f>
        <v/>
      </c>
      <c r="F8" s="27">
        <f>'💰 Cost Summary'!C12</f>
        <v/>
      </c>
      <c r="G8" s="27">
        <f>'💰 Cost Summary'!C15</f>
        <v/>
      </c>
      <c r="H8" s="68">
        <f>SUM(C8:G8)</f>
        <v/>
      </c>
      <c r="I8" s="69">
        <f>I7+H8</f>
        <v/>
      </c>
    </row>
    <row r="9" ht="20" customHeight="1">
      <c r="B9" s="46" t="inlineStr">
        <is>
          <t>July</t>
        </is>
      </c>
      <c r="C9" s="65">
        <f>'💰 Cost Summary'!C4</f>
        <v/>
      </c>
      <c r="D9" s="65">
        <f>'💰 Cost Summary'!C6</f>
        <v/>
      </c>
      <c r="E9" s="65">
        <f>'💰 Cost Summary'!C9</f>
        <v/>
      </c>
      <c r="F9" s="65">
        <f>'💰 Cost Summary'!C12</f>
        <v/>
      </c>
      <c r="G9" s="65">
        <f>'💰 Cost Summary'!C15</f>
        <v/>
      </c>
      <c r="H9" s="48">
        <f>SUM(C9:G9)</f>
        <v/>
      </c>
      <c r="I9" s="66">
        <f>I8+H9</f>
        <v/>
      </c>
    </row>
    <row r="10" ht="20" customHeight="1">
      <c r="B10" s="67" t="inlineStr">
        <is>
          <t>August</t>
        </is>
      </c>
      <c r="C10" s="27">
        <f>'💰 Cost Summary'!C4</f>
        <v/>
      </c>
      <c r="D10" s="27">
        <f>'💰 Cost Summary'!C6</f>
        <v/>
      </c>
      <c r="E10" s="27">
        <f>'💰 Cost Summary'!C9</f>
        <v/>
      </c>
      <c r="F10" s="27">
        <f>'💰 Cost Summary'!C12</f>
        <v/>
      </c>
      <c r="G10" s="27">
        <f>'💰 Cost Summary'!C15</f>
        <v/>
      </c>
      <c r="H10" s="68">
        <f>SUM(C10:G10)</f>
        <v/>
      </c>
      <c r="I10" s="69">
        <f>I9+H10</f>
        <v/>
      </c>
    </row>
    <row r="11" ht="20" customHeight="1">
      <c r="B11" s="46" t="inlineStr">
        <is>
          <t>September</t>
        </is>
      </c>
      <c r="C11" s="65">
        <f>'💰 Cost Summary'!C4</f>
        <v/>
      </c>
      <c r="D11" s="65">
        <f>'💰 Cost Summary'!C6</f>
        <v/>
      </c>
      <c r="E11" s="65">
        <f>'💰 Cost Summary'!C9</f>
        <v/>
      </c>
      <c r="F11" s="65">
        <f>'💰 Cost Summary'!C12</f>
        <v/>
      </c>
      <c r="G11" s="65">
        <f>'💰 Cost Summary'!C15</f>
        <v/>
      </c>
      <c r="H11" s="48">
        <f>SUM(C11:G11)</f>
        <v/>
      </c>
      <c r="I11" s="66">
        <f>I10+H11</f>
        <v/>
      </c>
    </row>
    <row r="12" ht="20" customHeight="1">
      <c r="B12" s="67" t="inlineStr">
        <is>
          <t>October</t>
        </is>
      </c>
      <c r="C12" s="27">
        <f>'💰 Cost Summary'!C4</f>
        <v/>
      </c>
      <c r="D12" s="27">
        <f>'💰 Cost Summary'!C6</f>
        <v/>
      </c>
      <c r="E12" s="27">
        <f>'💰 Cost Summary'!C9</f>
        <v/>
      </c>
      <c r="F12" s="27">
        <f>'💰 Cost Summary'!C12</f>
        <v/>
      </c>
      <c r="G12" s="27">
        <f>'💰 Cost Summary'!C15</f>
        <v/>
      </c>
      <c r="H12" s="68">
        <f>SUM(C12:G12)</f>
        <v/>
      </c>
      <c r="I12" s="69">
        <f>I11+H12</f>
        <v/>
      </c>
    </row>
    <row r="13" ht="20" customHeight="1">
      <c r="B13" s="46" t="inlineStr">
        <is>
          <t>November</t>
        </is>
      </c>
      <c r="C13" s="65">
        <f>'💰 Cost Summary'!C4</f>
        <v/>
      </c>
      <c r="D13" s="65">
        <f>'💰 Cost Summary'!C6</f>
        <v/>
      </c>
      <c r="E13" s="65">
        <f>'💰 Cost Summary'!C9</f>
        <v/>
      </c>
      <c r="F13" s="65">
        <f>'💰 Cost Summary'!C12</f>
        <v/>
      </c>
      <c r="G13" s="65">
        <f>'💰 Cost Summary'!C15</f>
        <v/>
      </c>
      <c r="H13" s="48">
        <f>SUM(C13:G13)</f>
        <v/>
      </c>
      <c r="I13" s="66">
        <f>I12+H13</f>
        <v/>
      </c>
    </row>
    <row r="14" ht="20" customHeight="1">
      <c r="B14" s="67" t="inlineStr">
        <is>
          <t>December</t>
        </is>
      </c>
      <c r="C14" s="27">
        <f>'💰 Cost Summary'!C4</f>
        <v/>
      </c>
      <c r="D14" s="27">
        <f>'💰 Cost Summary'!C6</f>
        <v/>
      </c>
      <c r="E14" s="27">
        <f>'💰 Cost Summary'!C9</f>
        <v/>
      </c>
      <c r="F14" s="27">
        <f>'💰 Cost Summary'!C12</f>
        <v/>
      </c>
      <c r="G14" s="27">
        <f>'💰 Cost Summary'!C15</f>
        <v/>
      </c>
      <c r="H14" s="68">
        <f>SUM(C14:G14)</f>
        <v/>
      </c>
      <c r="I14" s="69">
        <f>I13+H14</f>
        <v/>
      </c>
    </row>
    <row r="15" ht="24" customHeight="1">
      <c r="B15" s="62" t="inlineStr">
        <is>
          <t>ANNUAL TOTAL</t>
        </is>
      </c>
      <c r="C15" s="64">
        <f>SUM(C3:C14)</f>
        <v/>
      </c>
      <c r="D15" s="64">
        <f>SUM(D3:D14)</f>
        <v/>
      </c>
      <c r="E15" s="64">
        <f>SUM(E3:E14)</f>
        <v/>
      </c>
      <c r="F15" s="64">
        <f>SUM(F3:F14)</f>
        <v/>
      </c>
      <c r="G15" s="64">
        <f>SUM(G3:G14)</f>
        <v/>
      </c>
      <c r="H15" s="64">
        <f>SUM(H3:H14)</f>
        <v/>
      </c>
      <c r="I15" s="34" t="inlineStr"/>
    </row>
    <row r="17">
      <c r="B17" s="16" t="inlineStr">
        <is>
          <t>⭐  First-year cost also includes one-time upfront Termii pre-load buffer (see '💰 Cost Summary' sheet · '⭐ FIRST-YEAR TOTAL' row).</t>
        </is>
      </c>
    </row>
    <row r="18">
      <c r="B18" s="16" t="inlineStr">
        <is>
          <t>💡  PAYG top-up tip: When your Termii balance drops below the monthly buffer amount, top up immediately. Set a Termii low-balance alert in the dashboard to get notified before you run out. Recommended minimum top-up: $50 at a time.</t>
        </is>
      </c>
    </row>
  </sheetData>
  <mergeCells count="3">
    <mergeCell ref="B1:H1"/>
    <mergeCell ref="B17:H17"/>
    <mergeCell ref="B18:H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C2626"/>
    <outlinePr summaryBelow="1" summaryRight="1"/>
    <pageSetUpPr/>
  </sheetPr>
  <dimension ref="B1:D1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20" customWidth="1" min="4" max="4"/>
    <col width="5" customWidth="1" min="5" max="5"/>
  </cols>
  <sheetData>
    <row r="1" ht="28" customHeight="1">
      <c r="B1" s="10" t="inlineStr">
        <is>
          <t>🇳🇬  NGN COST CONVERSION</t>
        </is>
      </c>
    </row>
    <row r="2" ht="4" customHeight="1"/>
    <row r="3">
      <c r="B3" s="70" t="inlineStr">
        <is>
          <t>USD to NGN exchange rate (editable)</t>
        </is>
      </c>
      <c r="C3" s="71" t="n">
        <v>1620</v>
      </c>
    </row>
    <row r="5">
      <c r="B5" s="22" t="inlineStr">
        <is>
          <t>Item</t>
        </is>
      </c>
      <c r="C5" s="22" t="inlineStr">
        <is>
          <t>USD</t>
        </is>
      </c>
      <c r="D5" s="22" t="inlineStr">
        <is>
          <t>NGN (estimated)</t>
        </is>
      </c>
    </row>
    <row r="6" ht="20" customHeight="1">
      <c r="B6" s="39" t="inlineStr">
        <is>
          <t>Replit (annual)</t>
        </is>
      </c>
      <c r="C6" s="42">
        <f>'💰 Cost Summary'!D4</f>
        <v/>
      </c>
      <c r="D6" s="72">
        <f>C6*C3</f>
        <v/>
      </c>
    </row>
    <row r="7" ht="20" customHeight="1">
      <c r="B7" s="26" t="inlineStr">
        <is>
          <t>Termii SMS (annual)</t>
        </is>
      </c>
      <c r="C7" s="73">
        <f>'💰 Cost Summary'!D6</f>
        <v/>
      </c>
      <c r="D7" s="74">
        <f>C7*C3</f>
        <v/>
      </c>
    </row>
    <row r="8" ht="20" customHeight="1">
      <c r="B8" s="39" t="inlineStr">
        <is>
          <t>Termii Email (annual)</t>
        </is>
      </c>
      <c r="C8" s="42">
        <f>'💰 Cost Summary'!D9</f>
        <v/>
      </c>
      <c r="D8" s="72">
        <f>C8*C3</f>
        <v/>
      </c>
    </row>
    <row r="9" ht="20" customHeight="1">
      <c r="B9" s="26" t="inlineStr">
        <is>
          <t>Termii WhatsApp (annual)</t>
        </is>
      </c>
      <c r="C9" s="73">
        <f>'💰 Cost Summary'!D12</f>
        <v/>
      </c>
      <c r="D9" s="74">
        <f>C9*C3</f>
        <v/>
      </c>
    </row>
    <row r="10" ht="20" customHeight="1">
      <c r="B10" s="39" t="inlineStr">
        <is>
          <t>PAYG Buffer (annual)</t>
        </is>
      </c>
      <c r="C10" s="42">
        <f>'💰 Cost Summary'!D15</f>
        <v/>
      </c>
      <c r="D10" s="72">
        <f>C10*C3</f>
        <v/>
      </c>
    </row>
    <row r="11" ht="20" customHeight="1">
      <c r="B11" s="26" t="inlineStr">
        <is>
          <t>Custom Domain (annual)</t>
        </is>
      </c>
      <c r="C11" s="73">
        <f>'⚙️ Assumptions'!C31</f>
        <v/>
      </c>
      <c r="D11" s="74">
        <f>C11*C3</f>
        <v/>
      </c>
    </row>
    <row r="12" ht="24" customHeight="1">
      <c r="B12" s="62" t="inlineStr">
        <is>
          <t>ANNUAL TOTAL</t>
        </is>
      </c>
      <c r="C12" s="64">
        <f>SUM(C6:C11)</f>
        <v/>
      </c>
      <c r="D12" s="75">
        <f>C12*C3</f>
        <v/>
      </c>
    </row>
    <row r="14">
      <c r="B14" s="16" t="inlineStr">
        <is>
          <t>📌  NGN/USD rate fluctuates daily. Update cell C3 to the current CBN rate before budgeting. Check at cbn.gov.ng or Google.</t>
        </is>
      </c>
      <c r="C14" s="12" t="n"/>
      <c r="D14" s="13" t="n"/>
    </row>
  </sheetData>
  <mergeCells count="2">
    <mergeCell ref="B1:D1"/>
    <mergeCell ref="B14:D1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2026-05-14T13:32:28Z</dcterms:created>
  <dcterms:modified xsi:type="dcterms:W3CDTF">2026-05-14T13:32:28Z</dcterms:modified>
</cp:coreProperties>
</file>