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210" activeTab="1"/>
  </bookViews>
  <sheets>
    <sheet name="📋 Cover" sheetId="1" r:id="rId1"/>
    <sheet name="⚙️ Assumptions" sheetId="2" r:id="rId2"/>
    <sheet name="💰 Cost Summary" sheetId="3" r:id="rId3"/>
    <sheet name="📲 Termii Calculator" sheetId="4" r:id="rId4"/>
    <sheet name="📅 Monthly Schedule" sheetId="5" r:id="rId5"/>
    <sheet name="🇳🇬 NGN Conversion" sheetId="6" r:id="rId6"/>
    <sheet name="⚖️ Deployment Comparison"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Shepherd Connect</author>
  </authors>
  <commentList>
    <comment ref="C3" authorId="0">
      <text>
        <r>
          <rPr>
            <sz val="10"/>
            <rFont val="SimSun"/>
            <charset val="134"/>
          </rPr>
          <t>Parents + teachers + admins + attendants</t>
        </r>
      </text>
    </comment>
    <comment ref="C4" authorId="0">
      <text>
        <r>
          <rPr>
            <sz val="10"/>
            <rFont val="SimSun"/>
            <charset val="134"/>
          </rPr>
          <t>Typically 40–50 % of total users</t>
        </r>
      </text>
    </comment>
    <comment ref="C5" authorId="0">
      <text>
        <r>
          <rPr>
            <sz val="10"/>
            <rFont val="SimSun"/>
            <charset val="134"/>
          </rPr>
          <t>Used to estimate check-in volumes</t>
        </r>
      </text>
    </comment>
    <comment ref="C6" authorId="0">
      <text>
        <r>
          <rPr>
            <sz val="10"/>
            <rFont val="SimSun"/>
            <charset val="134"/>
          </rPr>
          <t>Usually 4, some months 5</t>
        </r>
      </text>
    </comment>
    <comment ref="C7" authorId="0">
      <text>
        <r>
          <rPr>
            <sz val="10"/>
            <rFont val="SimSun"/>
            <charset val="134"/>
          </rPr>
          <t>70 % = 560 families attend each Sunday</t>
        </r>
      </text>
    </comment>
    <comment ref="C10" authorId="0">
      <text>
        <r>
          <rPr>
            <sz val="10"/>
            <rFont val="SimSun"/>
            <charset val="134"/>
          </rPr>
          <t>Check Termii dashboard · adjust if you get a volume discount</t>
        </r>
      </text>
    </comment>
    <comment ref="C11" authorId="0">
      <text>
        <r>
          <rPr>
            <sz val="10"/>
            <rFont val="SimSun"/>
            <charset val="134"/>
          </rPr>
          <t>1 SMS to parent on check-in</t>
        </r>
      </text>
    </comment>
    <comment ref="C12" authorId="0">
      <text>
        <r>
          <rPr>
            <sz val="10"/>
            <rFont val="SimSun"/>
            <charset val="134"/>
          </rPr>
          <t>1 SMS to parent on pick-up</t>
        </r>
      </text>
    </comment>
    <comment ref="C13" authorId="0">
      <text>
        <r>
          <rPr>
            <sz val="10"/>
            <rFont val="SimSun"/>
            <charset val="134"/>
          </rPr>
          <t>Avg number of emergency alerts per month</t>
        </r>
      </text>
    </comment>
    <comment ref="C14" authorId="0">
      <text>
        <r>
          <rPr>
            <sz val="10"/>
            <rFont val="SimSun"/>
            <charset val="134"/>
          </rPr>
          <t>Admin-to-parent broadcast messages</t>
        </r>
      </text>
    </comment>
    <comment ref="C15" authorId="0">
      <text>
        <r>
          <rPr>
            <sz val="10"/>
            <rFont val="SimSun"/>
            <charset val="134"/>
          </rPr>
          <t>5 % use delegate OTP checkout</t>
        </r>
      </text>
    </comment>
    <comment ref="C18" authorId="0">
      <text>
        <r>
          <rPr>
            <sz val="10"/>
            <rFont val="SimSun"/>
            <charset val="134"/>
          </rPr>
          <t>Check Termii dashboard</t>
        </r>
      </text>
    </comment>
    <comment ref="C19" authorId="0">
      <text>
        <r>
          <rPr>
            <sz val="10"/>
            <rFont val="SimSun"/>
            <charset val="134"/>
          </rPr>
          <t>Monthly report to parents</t>
        </r>
      </text>
    </comment>
    <comment ref="C20" authorId="0">
      <text>
        <r>
          <rPr>
            <sz val="10"/>
            <rFont val="SimSun"/>
            <charset val="134"/>
          </rPr>
          <t>Miscellaneous email alerts</t>
        </r>
      </text>
    </comment>
    <comment ref="C23" authorId="0">
      <text>
        <r>
          <rPr>
            <sz val="10"/>
            <rFont val="SimSun"/>
            <charset val="134"/>
          </rPr>
          <t>YES or NO — requires approved WhatsApp Business API</t>
        </r>
      </text>
    </comment>
    <comment ref="C24" authorId="0">
      <text>
        <r>
          <rPr>
            <sz val="10"/>
            <rFont val="SimSun"/>
            <charset val="134"/>
          </rPr>
          <t>Approx. Meta conversation rate for Nigeria</t>
        </r>
      </text>
    </comment>
    <comment ref="C25" authorId="0">
      <text>
        <r>
          <rPr>
            <sz val="10"/>
            <rFont val="SimSun"/>
            <charset val="134"/>
          </rPr>
          <t>Check-in alert + report + 2 broadcasts</t>
        </r>
      </text>
    </comment>
    <comment ref="C28" authorId="0">
      <text>
        <r>
          <rPr>
            <sz val="10"/>
            <rFont val="SimSun"/>
            <charset val="134"/>
          </rPr>
          <t>Billed annually = $216/yr · includes DB, storage, 3 deployments</t>
        </r>
      </text>
    </comment>
    <comment ref="C31" authorId="0">
      <text>
        <r>
          <rPr>
            <sz val="10"/>
            <rFont val="SimSun"/>
            <charset val="134"/>
          </rPr>
          <t>e.g. shepherdconnect.org.ng — 0 if using .replit.app</t>
        </r>
      </text>
    </comment>
    <comment ref="C34" authorId="0">
      <text>
        <r>
          <rPr>
            <sz val="10"/>
            <rFont val="SimSun"/>
            <charset val="134"/>
          </rPr>
          <t>20 % extra credit to avoid running out mid-month</t>
        </r>
      </text>
    </comment>
    <comment ref="C35" authorId="0">
      <text>
        <r>
          <rPr>
            <sz val="10"/>
            <rFont val="SimSun"/>
            <charset val="134"/>
          </rPr>
          <t>Buy 2 months of Termii credit upfront as reserve</t>
        </r>
      </text>
    </comment>
  </commentList>
</comments>
</file>

<file path=xl/comments2.xml><?xml version="1.0" encoding="utf-8"?>
<comments xmlns="http://schemas.openxmlformats.org/spreadsheetml/2006/main">
  <authors>
    <author>Shepherd Connect</author>
  </authors>
  <commentList>
    <comment ref="C3" authorId="0">
      <text>
        <r>
          <rPr>
            <sz val="10"/>
            <rFont val="SimSun"/>
            <charset val="134"/>
          </rPr>
          <t>Update to current CBN rate</t>
        </r>
      </text>
    </comment>
  </commentList>
</comments>
</file>

<file path=xl/sharedStrings.xml><?xml version="1.0" encoding="utf-8"?>
<sst xmlns="http://schemas.openxmlformats.org/spreadsheetml/2006/main" count="247" uniqueCount="220">
  <si>
    <t>SHEPHERD CONNECT</t>
  </si>
  <si>
    <t>Annual Operating Cost Planner — 2,000 Users</t>
  </si>
  <si>
    <t>RCCG City of David  ·  Safe. Known. Celebrated.</t>
  </si>
  <si>
    <t>⚠️  Yellow cells are editable inputs — change them to fit your actual usage</t>
  </si>
  <si>
    <t>📌 HOW TO USE THIS FILE</t>
  </si>
  <si>
    <t>1. Go to the ⚙️ Assumptions sheet</t>
  </si>
  <si>
    <t>Change yellow cells to match your church size &amp; usage</t>
  </si>
  <si>
    <t>2. Go to 💰 Cost Summary</t>
  </si>
  <si>
    <t>See the full annual &amp; monthly cost breakdown</t>
  </si>
  <si>
    <t>3. Go to 📅 Monthly Schedule</t>
  </si>
  <si>
    <t>See pay-as-you-go buffer month-by-month</t>
  </si>
  <si>
    <t>4. Go to 📲 Termii Calculator</t>
  </si>
  <si>
    <t>Understand SMS / Email / WhatsApp costs in detail</t>
  </si>
  <si>
    <t>📌 INCLUDED SERVICES</t>
  </si>
  <si>
    <t>Replit Core (hosting + DB + storage)</t>
  </si>
  <si>
    <t>Platform for running the live app</t>
  </si>
  <si>
    <t>Termii SMS</t>
  </si>
  <si>
    <t>OTP, check-in alerts, emergency broadcasts</t>
  </si>
  <si>
    <t>Termii Email</t>
  </si>
  <si>
    <t>Notifications, appraisal reports</t>
  </si>
  <si>
    <t>Termii WhatsApp</t>
  </si>
  <si>
    <t>Rich-media alerts (requires Business API approval)</t>
  </si>
  <si>
    <t>Domain name (optional)</t>
  </si>
  <si>
    <t>Custom domain like shepherdconnect.org.ng</t>
  </si>
  <si>
    <t>PAYG top-up buffer</t>
  </si>
  <si>
    <t>Reserve to avoid service disruption mid-month</t>
  </si>
  <si>
    <t>⚙️  ASSUMPTIONS  —  Edit the yellow cells</t>
  </si>
  <si>
    <t xml:space="preserve">  CHURCH &amp; USER BASE</t>
  </si>
  <si>
    <t>Total registered users (all roles)</t>
  </si>
  <si>
    <t>ℹ  Parents + teachers + admins + attendants</t>
  </si>
  <si>
    <t>Active parent accounts (receive notifications)</t>
  </si>
  <si>
    <t>ℹ  Typically 40–50 % of total users</t>
  </si>
  <si>
    <t>Average children per family</t>
  </si>
  <si>
    <t>ℹ  Used to estimate check-in volumes</t>
  </si>
  <si>
    <t>Sunday services per month</t>
  </si>
  <si>
    <t>ℹ  Usually 4, some months 5</t>
  </si>
  <si>
    <t>Attendance rate (% of families per service)</t>
  </si>
  <si>
    <t>ℹ  70 % = 560 families attend each Sunday</t>
  </si>
  <si>
    <t xml:space="preserve">  TERMII SMS</t>
  </si>
  <si>
    <t>Termii SMS rate per message (USD)</t>
  </si>
  <si>
    <t>ℹ  Check Termii dashboard · adjust if you get a volume discount</t>
  </si>
  <si>
    <t>SMS per check-in event (per child)</t>
  </si>
  <si>
    <t>ℹ  1 SMS to parent on check-in</t>
  </si>
  <si>
    <t>SMS per check-out event (per child)</t>
  </si>
  <si>
    <t>ℹ  1 SMS to parent on pick-up</t>
  </si>
  <si>
    <t>Emergency broadcast SMS per month</t>
  </si>
  <si>
    <t>ℹ  Avg number of emergency alerts per month</t>
  </si>
  <si>
    <t>General broadcast SMS per month (to all parents)</t>
  </si>
  <si>
    <t>ℹ  Admin-to-parent broadcast messages</t>
  </si>
  <si>
    <t>OTP delegate pickup % (of weekly check-outs)</t>
  </si>
  <si>
    <t>ℹ  5 % use delegate OTP checkout</t>
  </si>
  <si>
    <t xml:space="preserve">  TERMII EMAIL</t>
  </si>
  <si>
    <t>Termii email rate per message (USD)</t>
  </si>
  <si>
    <t>ℹ  Check Termii dashboard</t>
  </si>
  <si>
    <t>Appraisal (Shepherd Report) emails per child/month</t>
  </si>
  <si>
    <t>ℹ  Monthly report to parents</t>
  </si>
  <si>
    <t>General notification emails per parent/month</t>
  </si>
  <si>
    <t>ℹ  Miscellaneous email alerts</t>
  </si>
  <si>
    <t xml:space="preserve">  TERMII WHATSAPP</t>
  </si>
  <si>
    <t>WhatsApp enabled?</t>
  </si>
  <si>
    <t>NO</t>
  </si>
  <si>
    <t>ℹ  YES or NO — requires approved WhatsApp Business API</t>
  </si>
  <si>
    <t>Termii WhatsApp rate per message (USD)</t>
  </si>
  <si>
    <t>ℹ  Approx. Meta conversation rate for Nigeria</t>
  </si>
  <si>
    <t>WhatsApp messages per parent per month</t>
  </si>
  <si>
    <t>ℹ  Check-in alert + report + 2 broadcasts</t>
  </si>
  <si>
    <t xml:space="preserve">  PLATFORM (REPLIT)</t>
  </si>
  <si>
    <t>Replit Core plan — monthly cost (USD)</t>
  </si>
  <si>
    <t>ℹ  Billed annually = $216/yr · includes DB, storage, 3 deployments</t>
  </si>
  <si>
    <t xml:space="preserve">  DOMAIN (OPTIONAL)</t>
  </si>
  <si>
    <t>Custom domain cost per year (USD)</t>
  </si>
  <si>
    <t>ℹ  e.g. shepherdconnect.org.ng — 0 if using .replit.app</t>
  </si>
  <si>
    <t xml:space="preserve">  PAY-AS-YOU-GO BUFFER</t>
  </si>
  <si>
    <t>PAYG monthly buffer (% on top of estimated Termii cost)</t>
  </si>
  <si>
    <t>ℹ  20 % extra credit to avoid running out mid-month</t>
  </si>
  <si>
    <t>Buffer pre-load months (upfront credit purchase)</t>
  </si>
  <si>
    <t>ℹ  Buy 2 months of Termii credit upfront as reserve</t>
  </si>
  <si>
    <t>💰  ANNUAL COST SUMMARY  —  Shepherd Connect (2,000 Users)</t>
  </si>
  <si>
    <t>Cost Item</t>
  </si>
  <si>
    <t>Monthly (USD)</t>
  </si>
  <si>
    <t>Annual (USD)</t>
  </si>
  <si>
    <t>Notes</t>
  </si>
  <si>
    <t xml:space="preserve">  1. PLATFORM — Replit Core</t>
  </si>
  <si>
    <t>Replit Core (hosting + DB + storage + deployments)</t>
  </si>
  <si>
    <t>billed $216/yr — includes PostgreSQL, object storage, 3 deployments</t>
  </si>
  <si>
    <t xml:space="preserve">  2. TERMII — SMS Notifications</t>
  </si>
  <si>
    <t>SMS — check-in / check-out / OTP / broadcasts</t>
  </si>
  <si>
    <t>Volume auto-calculated from Assumptions</t>
  </si>
  <si>
    <t xml:space="preserve">  ↳ Estimated SMS messages per month</t>
  </si>
  <si>
    <t>Change attendance rate &amp; family size in Assumptions</t>
  </si>
  <si>
    <t xml:space="preserve">  3. TERMII — Email Notifications</t>
  </si>
  <si>
    <t>Email — Shepherd Reports + general notifications</t>
  </si>
  <si>
    <t/>
  </si>
  <si>
    <t xml:space="preserve">  ↳ Estimated emails per month</t>
  </si>
  <si>
    <t xml:space="preserve">  4. TERMII — WhatsApp (requires Business API approval)</t>
  </si>
  <si>
    <t>WhatsApp — check-in alerts + reports + broadcasts</t>
  </si>
  <si>
    <t>Set WhatsApp enabled? = YES in Assumptions to activate</t>
  </si>
  <si>
    <t xml:space="preserve">  ↳ Estimated WA messages per month</t>
  </si>
  <si>
    <t xml:space="preserve">  5. PAY-AS-YOU-GO BUFFER (Reserve Credit)</t>
  </si>
  <si>
    <t>Termii PAYG buffer (% on top of monthly Termii cost)</t>
  </si>
  <si>
    <t>Prevents service disruption if usage spikes mid-month</t>
  </si>
  <si>
    <t>Upfront pre-load (buffer months of Termii credit bought on day 1)</t>
  </si>
  <si>
    <t>—</t>
  </si>
  <si>
    <t>One-time extra credit purchase as safety reserve</t>
  </si>
  <si>
    <t xml:space="preserve">  6. OPTIONAL — Custom Domain Name</t>
  </si>
  <si>
    <t>Custom domain (e.g. shepherdconnect.org.ng)</t>
  </si>
  <si>
    <t>Set to 0 in Assumptions if using free .replit.app domain</t>
  </si>
  <si>
    <t>🔷  TOTAL ESTIMATED ANNUAL COST (excl. upfront buffer)</t>
  </si>
  <si>
    <t>⭐  FIRST-YEAR TOTAL (includes upfront pre-load buffer)</t>
  </si>
  <si>
    <t>💡  Exchange rate: All costs above are in USD. Convert to NGN at the rate of your choice. At ₦1,600/$1, multiply any USD figure by 1600.</t>
  </si>
  <si>
    <t>📲  TERMII USAGE DETAIL &amp; RATE CARD</t>
  </si>
  <si>
    <t>Channel</t>
  </si>
  <si>
    <t>Messages/Month</t>
  </si>
  <si>
    <t>Rate (USD)</t>
  </si>
  <si>
    <t>Monthly Cost</t>
  </si>
  <si>
    <t>Annual Cost</t>
  </si>
  <si>
    <t xml:space="preserve">  SMS MESSAGES</t>
  </si>
  <si>
    <t>Check-in SMS (parent alert on child arrival)</t>
  </si>
  <si>
    <t>Check-out SMS (parent alert on pick-up)</t>
  </si>
  <si>
    <t>Emergency broadcast (to all parents)</t>
  </si>
  <si>
    <t>Admin broadcast (to all parents)</t>
  </si>
  <si>
    <t>OTP delegate checkout SMS</t>
  </si>
  <si>
    <t>SMS Sub-total</t>
  </si>
  <si>
    <t xml:space="preserve">  EMAIL NOTIFICATIONS</t>
  </si>
  <si>
    <t>Shepherd Report (appraisal) emails to parents</t>
  </si>
  <si>
    <t>General notification emails</t>
  </si>
  <si>
    <t>Email Sub-total</t>
  </si>
  <si>
    <t xml:space="preserve">  WHATSAPP  (set 'WhatsApp enabled? = YES' in Assumptions to activate)</t>
  </si>
  <si>
    <t>WhatsApp messages (check-in, reports, broadcasts)</t>
  </si>
  <si>
    <t>WhatsApp Sub-total</t>
  </si>
  <si>
    <t>🔷  TERMII TOTAL</t>
  </si>
  <si>
    <t>📌  Termii PAYG plans: purchase credit in bundles — $10, $25, $50, $100, $200. Unused credit rolls over. Rates above are Termii's standard rates; request a volume discount if monthly SMS &gt; 5,000.</t>
  </si>
  <si>
    <t>📌  WhatsApp requires Meta-approved WhatsApp Business API. Termii acts as BSP (Business Solution Provider). Apply at api.termii.com. Not available on a trial Termii account.</t>
  </si>
  <si>
    <t>📅  MONTHLY CASH FLOW SCHEDULE — 12 Months</t>
  </si>
  <si>
    <t>Month</t>
  </si>
  <si>
    <t>Replit</t>
  </si>
  <si>
    <t>SMS Cost</t>
  </si>
  <si>
    <t>Email Cost</t>
  </si>
  <si>
    <t>WA Cost</t>
  </si>
  <si>
    <t>PAYG Buffer</t>
  </si>
  <si>
    <t>Month Total</t>
  </si>
  <si>
    <t>Cumulative</t>
  </si>
  <si>
    <t>January</t>
  </si>
  <si>
    <t>February</t>
  </si>
  <si>
    <t>March</t>
  </si>
  <si>
    <t>April</t>
  </si>
  <si>
    <t>May</t>
  </si>
  <si>
    <t>June</t>
  </si>
  <si>
    <t>July</t>
  </si>
  <si>
    <t>August</t>
  </si>
  <si>
    <t>September</t>
  </si>
  <si>
    <t>October</t>
  </si>
  <si>
    <t>November</t>
  </si>
  <si>
    <t>December</t>
  </si>
  <si>
    <t>ANNUAL TOTAL</t>
  </si>
  <si>
    <t>⭐  First-year cost also includes one-time upfront Termii pre-load buffer (see '💰 Cost Summary' sheet · '⭐ FIRST-YEAR TOTAL' row).</t>
  </si>
  <si>
    <t>💡  PAYG top-up tip: When your Termii balance drops below the monthly buffer amount, top up immediately. Set a Termii low-balance alert in the dashboard to get notified before you run out. Recommended minimum top-up: $50 at a time.</t>
  </si>
  <si>
    <t>🇳🇬  NGN COST CONVERSION</t>
  </si>
  <si>
    <t>USD to NGN exchange rate (editable)</t>
  </si>
  <si>
    <t>Item</t>
  </si>
  <si>
    <t>USD</t>
  </si>
  <si>
    <t>NGN (estimated)</t>
  </si>
  <si>
    <t>Replit (annual)</t>
  </si>
  <si>
    <t>Termii SMS (annual)</t>
  </si>
  <si>
    <t>Termii Email (annual)</t>
  </si>
  <si>
    <t>Termii WhatsApp (annual)</t>
  </si>
  <si>
    <t>PAYG Buffer (annual)</t>
  </si>
  <si>
    <t>Custom Domain (annual)</t>
  </si>
  <si>
    <t>📌  NGN/USD rate fluctuates daily. Update cell C3 to the current CBN rate before budgeting. Check at cbn.gov.ng or Google.</t>
  </si>
  <si>
    <t>⚖️  AUTOSCALE (PAYG)  vs  RESERVED VM — Which is right for you?</t>
  </si>
  <si>
    <t>Both options require Replit Core ($18/month). Yellow cells are editable estimates.</t>
  </si>
  <si>
    <t>⚡ AUTOSCALE (PAYG)</t>
  </si>
  <si>
    <t>🖥️ RESERVED VM</t>
  </si>
  <si>
    <t>Replit Core subscription</t>
  </si>
  <si>
    <t>Sunday compute — est. cost per Sunday</t>
  </si>
  <si>
    <t>Reserved VM — 1 vCPU / 1 GB  ✅ recommended</t>
  </si>
  <si>
    <t xml:space="preserve">  × avg Sundays per month</t>
  </si>
  <si>
    <t>Reserved VM — 2 vCPU / 2 GB  (comfortable headroom)</t>
  </si>
  <si>
    <t xml:space="preserve">  Sunday compute subtotal</t>
  </si>
  <si>
    <t xml:space="preserve">  → Use ONE of the two tiers above in your budget</t>
  </si>
  <si>
    <t>Weekday low-traffic compute (est.)</t>
  </si>
  <si>
    <t>Termii (SMS + Email + WA + Buffer)</t>
  </si>
  <si>
    <t>Custom domain (optional)</t>
  </si>
  <si>
    <t>🖥️  RESERVED VM TOTAL (1 vCPU)</t>
  </si>
  <si>
    <t>⚡  AUTOSCALE TOTAL</t>
  </si>
  <si>
    <t>📊  FEATURE &amp; COST COMPARISON</t>
  </si>
  <si>
    <t>Feature</t>
  </si>
  <si>
    <t>⚡ Autoscale</t>
  </si>
  <si>
    <t>🖥️ Reserved VM</t>
  </si>
  <si>
    <t>Billing model</t>
  </si>
  <si>
    <t>Pay per compute second</t>
  </si>
  <si>
    <t>Fixed monthly fee</t>
  </si>
  <si>
    <t>Estimated monthly platform</t>
  </si>
  <si>
    <t>Estimated annual platform</t>
  </si>
  <si>
    <t>Possible annual saving</t>
  </si>
  <si>
    <t>Traffic handling</t>
  </si>
  <si>
    <t>Auto-scales to any demand ✅</t>
  </si>
  <si>
    <t>Fixed capacity — sized at setup</t>
  </si>
  <si>
    <t>Handles Sunday peak?</t>
  </si>
  <si>
    <t>Yes — scales instantly ✅</t>
  </si>
  <si>
    <t>Yes — 1 vCPU handles ~500 concurrent ✅</t>
  </si>
  <si>
    <t>Idle time billing</t>
  </si>
  <si>
    <t>Near-zero on quiet weekdays ✅</t>
  </si>
  <si>
    <t>Full price 24/7 even when idle</t>
  </si>
  <si>
    <t>Budget predictability</t>
  </si>
  <si>
    <t>Varies (~$23–35/mo est.)</t>
  </si>
  <si>
    <t>100% fixed — zero surprises ✅</t>
  </si>
  <si>
    <t>Best for</t>
  </si>
  <si>
    <t>Low-traffic-except-Sundays pattern ✅</t>
  </si>
  <si>
    <t>Church finance team prefers fixed bills ✅</t>
  </si>
  <si>
    <t>Risk</t>
  </si>
  <si>
    <t>Surprise bill if unusual event</t>
  </si>
  <si>
    <t>Over-paying on quiet months</t>
  </si>
  <si>
    <t>Database included?</t>
  </si>
  <si>
    <t>Yes (Core plan) ✅</t>
  </si>
  <si>
    <t>Object storage included?</t>
  </si>
  <si>
    <t>Yes — 50 GB (Core plan) ✅</t>
  </si>
  <si>
    <t>Recommended for 2,000 users?</t>
  </si>
  <si>
    <t>✅ Yes</t>
  </si>
  <si>
    <t>⚠️  Yellow cells are editable. Change Sunday compute cost and VM tier to match your actual Replit bill. Termii figures are pulled live from your Assumptions sheet. Replit publishes current deployment pricing at replit.com/pricing.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</si>
</sst>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quot;$&quot;#,##0.00"/>
    <numFmt numFmtId="179" formatCode="0.0"/>
    <numFmt numFmtId="180" formatCode="&quot;₦&quot;#,##0"/>
    <numFmt numFmtId="181" formatCode="&quot;$&quot;#,##0.0000"/>
    <numFmt numFmtId="182" formatCode="0.0%"/>
    <numFmt numFmtId="183" formatCode="&quot;$&quot;#,##0.000"/>
  </numFmts>
  <fonts count="38">
    <font>
      <sz val="11"/>
      <color theme="1"/>
      <name val="Calibri"/>
      <charset val="134"/>
      <scheme val="minor"/>
    </font>
    <font>
      <b/>
      <sz val="13"/>
      <color rgb="FFFFFFFF"/>
      <name val="Calibri"/>
      <charset val="134"/>
    </font>
    <font>
      <i/>
      <sz val="10"/>
      <color rgb="FF6B7280"/>
      <name val="Calibri"/>
      <charset val="134"/>
    </font>
    <font>
      <b/>
      <sz val="11"/>
      <color rgb="FFFFFFFF"/>
      <name val="Calibri"/>
      <charset val="134"/>
    </font>
    <font>
      <b/>
      <sz val="9"/>
      <color rgb="FFFFFFFF"/>
      <name val="Calibri"/>
      <charset val="134"/>
    </font>
    <font>
      <sz val="10"/>
      <color rgb="FF111827"/>
      <name val="Calibri"/>
      <charset val="134"/>
    </font>
    <font>
      <b/>
      <sz val="10"/>
      <color rgb="FFFFFFFF"/>
      <name val="Calibri"/>
      <charset val="134"/>
    </font>
    <font>
      <b/>
      <sz val="10"/>
      <color rgb="FF111827"/>
      <name val="Calibri"/>
      <charset val="134"/>
    </font>
    <font>
      <i/>
      <sz val="9"/>
      <color rgb="FFEA580C"/>
      <name val="Calibri"/>
      <charset val="134"/>
    </font>
    <font>
      <sz val="10"/>
      <color rgb="FF1A1A1A"/>
      <name val="Calibri"/>
      <charset val="134"/>
    </font>
    <font>
      <i/>
      <sz val="9"/>
      <color rgb="FF6B7280"/>
      <name val="Calibri"/>
      <charset val="134"/>
    </font>
    <font>
      <sz val="10"/>
      <color rgb="FF6B7280"/>
      <name val="Calibri"/>
      <charset val="134"/>
    </font>
    <font>
      <b/>
      <sz val="11"/>
      <color rgb="FF1E3A8A"/>
      <name val="Calibri"/>
      <charset val="134"/>
    </font>
    <font>
      <b/>
      <sz val="22"/>
      <color rgb="FFFFFFFF"/>
      <name val="Calibri"/>
      <charset val="134"/>
    </font>
    <font>
      <sz val="13"/>
      <color rgb="FFF59E0B"/>
      <name val="Calibri"/>
      <charset val="134"/>
    </font>
    <font>
      <i/>
      <sz val="11"/>
      <color rgb="FF93C5FD"/>
      <name val="Calibri"/>
      <charset val="134"/>
    </font>
    <font>
      <b/>
      <sz val="10"/>
      <color rgb="FF1E3A8A"/>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SimSun"/>
      <charset val="134"/>
    </font>
  </fonts>
  <fills count="45">
    <fill>
      <patternFill patternType="none"/>
    </fill>
    <fill>
      <patternFill patternType="gray125"/>
    </fill>
    <fill>
      <patternFill patternType="solid">
        <fgColor rgb="FF1E3A8A"/>
        <bgColor rgb="FF1E3A8A"/>
      </patternFill>
    </fill>
    <fill>
      <patternFill patternType="solid">
        <fgColor rgb="FF0EA5E9"/>
        <bgColor rgb="FF0EA5E9"/>
      </patternFill>
    </fill>
    <fill>
      <patternFill patternType="solid">
        <fgColor rgb="FF16A34A"/>
        <bgColor rgb="FF16A34A"/>
      </patternFill>
    </fill>
    <fill>
      <patternFill patternType="solid">
        <fgColor rgb="FFEFF6FF"/>
        <bgColor rgb="FFEFF6FF"/>
      </patternFill>
    </fill>
    <fill>
      <patternFill patternType="solid">
        <fgColor rgb="FFDCFCE7"/>
        <bgColor rgb="FFDCFCE7"/>
      </patternFill>
    </fill>
    <fill>
      <patternFill patternType="solid">
        <fgColor rgb="FFF9FAFB"/>
        <bgColor rgb="FFF9FAFB"/>
      </patternFill>
    </fill>
    <fill>
      <patternFill patternType="solid">
        <fgColor rgb="FFFFF9C4"/>
        <bgColor rgb="FFFFF9C4"/>
      </patternFill>
    </fill>
    <fill>
      <patternFill patternType="solid">
        <fgColor rgb="FF374151"/>
        <bgColor rgb="FF374151"/>
      </patternFill>
    </fill>
    <fill>
      <patternFill patternType="solid">
        <fgColor rgb="FFD1FAE5"/>
        <bgColor rgb="FFD1FAE5"/>
      </patternFill>
    </fill>
    <fill>
      <patternFill patternType="solid">
        <fgColor rgb="FFFEF3C7"/>
        <bgColor rgb="FFFEF3C7"/>
      </patternFill>
    </fill>
    <fill>
      <patternFill patternType="solid">
        <fgColor rgb="FFFFFBEB"/>
        <bgColor rgb="FFFFFBEB"/>
      </patternFill>
    </fill>
    <fill>
      <patternFill patternType="solid">
        <fgColor rgb="FFF59E0B"/>
        <bgColor rgb="FFF59E0B"/>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D1D5DB"/>
      </left>
      <right style="thin">
        <color rgb="FFD1D5DB"/>
      </right>
      <top style="thin">
        <color rgb="FFD1D5DB"/>
      </top>
      <bottom style="thin">
        <color rgb="FFD1D5DB"/>
      </bottom>
      <diagonal/>
    </border>
    <border>
      <left style="medium">
        <color rgb="FFD1D5DB"/>
      </left>
      <right style="medium">
        <color rgb="FFD1D5DB"/>
      </right>
      <top style="medium">
        <color rgb="FFD1D5DB"/>
      </top>
      <bottom style="medium">
        <color rgb="FFD1D5DB"/>
      </bottom>
      <diagonal/>
    </border>
    <border>
      <left/>
      <right/>
      <top style="thin">
        <color rgb="FFD1D5DB"/>
      </top>
      <bottom style="thin">
        <color rgb="FFD1D5DB"/>
      </bottom>
      <diagonal/>
    </border>
    <border>
      <left/>
      <right style="thin">
        <color rgb="FFD1D5DB"/>
      </right>
      <top style="thin">
        <color rgb="FFD1D5DB"/>
      </top>
      <bottom style="thin">
        <color rgb="FFD1D5D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177"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14" borderId="5"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6" applyNumberFormat="0" applyFill="0" applyAlignment="0" applyProtection="0">
      <alignment vertical="center"/>
    </xf>
    <xf numFmtId="0" fontId="24" fillId="0" borderId="6" applyNumberFormat="0" applyFill="0" applyAlignment="0" applyProtection="0">
      <alignment vertical="center"/>
    </xf>
    <xf numFmtId="0" fontId="25" fillId="0" borderId="7" applyNumberFormat="0" applyFill="0" applyAlignment="0" applyProtection="0">
      <alignment vertical="center"/>
    </xf>
    <xf numFmtId="0" fontId="25" fillId="0" borderId="0" applyNumberFormat="0" applyFill="0" applyBorder="0" applyAlignment="0" applyProtection="0">
      <alignment vertical="center"/>
    </xf>
    <xf numFmtId="0" fontId="26" fillId="15" borderId="8" applyNumberFormat="0" applyAlignment="0" applyProtection="0">
      <alignment vertical="center"/>
    </xf>
    <xf numFmtId="0" fontId="27" fillId="16" borderId="9" applyNumberFormat="0" applyAlignment="0" applyProtection="0">
      <alignment vertical="center"/>
    </xf>
    <xf numFmtId="0" fontId="28" fillId="16" borderId="8" applyNumberFormat="0" applyAlignment="0" applyProtection="0">
      <alignment vertical="center"/>
    </xf>
    <xf numFmtId="0" fontId="29" fillId="17" borderId="10" applyNumberFormat="0" applyAlignment="0" applyProtection="0">
      <alignment vertical="center"/>
    </xf>
    <xf numFmtId="0" fontId="30" fillId="0" borderId="11" applyNumberFormat="0" applyFill="0" applyAlignment="0" applyProtection="0">
      <alignment vertical="center"/>
    </xf>
    <xf numFmtId="0" fontId="31" fillId="0" borderId="12" applyNumberFormat="0" applyFill="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4" fillId="20" borderId="0" applyNumberFormat="0" applyBorder="0" applyAlignment="0" applyProtection="0">
      <alignment vertical="center"/>
    </xf>
    <xf numFmtId="0" fontId="35"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6" fillId="26" borderId="0" applyNumberFormat="0" applyBorder="0" applyAlignment="0" applyProtection="0">
      <alignment vertical="center"/>
    </xf>
    <xf numFmtId="0" fontId="36"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35" fillId="36" borderId="0" applyNumberFormat="0" applyBorder="0" applyAlignment="0" applyProtection="0">
      <alignment vertical="center"/>
    </xf>
    <xf numFmtId="0" fontId="35" fillId="37" borderId="0" applyNumberFormat="0" applyBorder="0" applyAlignment="0" applyProtection="0">
      <alignment vertical="center"/>
    </xf>
    <xf numFmtId="0" fontId="36" fillId="38" borderId="0" applyNumberFormat="0" applyBorder="0" applyAlignment="0" applyProtection="0">
      <alignment vertical="center"/>
    </xf>
    <xf numFmtId="0" fontId="36" fillId="39" borderId="0" applyNumberFormat="0" applyBorder="0" applyAlignment="0" applyProtection="0">
      <alignment vertical="center"/>
    </xf>
    <xf numFmtId="0" fontId="35" fillId="40" borderId="0" applyNumberFormat="0" applyBorder="0" applyAlignment="0" applyProtection="0">
      <alignment vertical="center"/>
    </xf>
    <xf numFmtId="0" fontId="35" fillId="41" borderId="0" applyNumberFormat="0" applyBorder="0" applyAlignment="0" applyProtection="0">
      <alignment vertical="center"/>
    </xf>
    <xf numFmtId="0" fontId="36" fillId="42" borderId="0" applyNumberFormat="0" applyBorder="0" applyAlignment="0" applyProtection="0">
      <alignment vertical="center"/>
    </xf>
    <xf numFmtId="0" fontId="36" fillId="43" borderId="0" applyNumberFormat="0" applyBorder="0" applyAlignment="0" applyProtection="0">
      <alignment vertical="center"/>
    </xf>
    <xf numFmtId="0" fontId="35" fillId="44" borderId="0" applyNumberFormat="0" applyBorder="0" applyAlignment="0" applyProtection="0">
      <alignment vertical="center"/>
    </xf>
  </cellStyleXfs>
  <cellXfs count="99">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3" borderId="0" xfId="0" applyFont="1" applyFill="1" applyAlignment="1">
      <alignment horizontal="center" vertical="center"/>
    </xf>
    <xf numFmtId="0" fontId="3" fillId="4" borderId="0" xfId="0" applyFont="1" applyFill="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5" borderId="1" xfId="0" applyFont="1" applyFill="1" applyBorder="1" applyAlignment="1">
      <alignment horizontal="left" vertical="center"/>
    </xf>
    <xf numFmtId="178" fontId="5" fillId="5" borderId="1" xfId="0" applyNumberFormat="1" applyFont="1" applyFill="1" applyBorder="1" applyAlignment="1">
      <alignment horizontal="center" vertical="center"/>
    </xf>
    <xf numFmtId="0" fontId="5" fillId="6" borderId="1" xfId="0" applyFont="1" applyFill="1" applyBorder="1" applyAlignment="1">
      <alignment horizontal="left" vertical="center"/>
    </xf>
    <xf numFmtId="178" fontId="5" fillId="6" borderId="1" xfId="0" applyNumberFormat="1" applyFont="1" applyFill="1" applyBorder="1" applyAlignment="1">
      <alignment horizontal="center" vertical="center"/>
    </xf>
    <xf numFmtId="0" fontId="5" fillId="7" borderId="1" xfId="0" applyFont="1" applyFill="1" applyBorder="1" applyAlignment="1">
      <alignment horizontal="left" vertical="center"/>
    </xf>
    <xf numFmtId="178" fontId="5" fillId="8" borderId="1" xfId="0" applyNumberFormat="1" applyFont="1" applyFill="1" applyBorder="1" applyAlignment="1">
      <alignment horizontal="center" vertical="center"/>
    </xf>
    <xf numFmtId="178" fontId="5" fillId="7" borderId="1" xfId="0" applyNumberFormat="1" applyFont="1" applyFill="1" applyBorder="1" applyAlignment="1">
      <alignment horizontal="center" vertical="center"/>
    </xf>
    <xf numFmtId="179" fontId="5" fillId="8" borderId="1" xfId="0" applyNumberFormat="1" applyFont="1" applyFill="1" applyBorder="1" applyAlignment="1">
      <alignment horizontal="center" vertical="center"/>
    </xf>
    <xf numFmtId="49" fontId="5" fillId="7" borderId="1" xfId="0" applyNumberFormat="1" applyFont="1" applyFill="1" applyBorder="1" applyAlignment="1">
      <alignment horizontal="center" vertical="center"/>
    </xf>
    <xf numFmtId="0" fontId="3" fillId="4" borderId="2" xfId="0" applyFont="1" applyFill="1" applyBorder="1" applyAlignment="1">
      <alignment horizontal="left" vertical="center"/>
    </xf>
    <xf numFmtId="178" fontId="3" fillId="4" borderId="2" xfId="0" applyNumberFormat="1" applyFont="1" applyFill="1" applyBorder="1" applyAlignment="1">
      <alignment horizontal="center" vertical="center"/>
    </xf>
    <xf numFmtId="0" fontId="3" fillId="3" borderId="2" xfId="0" applyFont="1" applyFill="1" applyBorder="1" applyAlignment="1">
      <alignment horizontal="left" vertical="center"/>
    </xf>
    <xf numFmtId="178" fontId="3" fillId="3" borderId="2" xfId="0" applyNumberFormat="1" applyFont="1" applyFill="1" applyBorder="1" applyAlignment="1">
      <alignment horizontal="center" vertical="center"/>
    </xf>
    <xf numFmtId="0" fontId="3" fillId="9" borderId="0" xfId="0" applyFont="1" applyFill="1" applyAlignment="1">
      <alignment horizontal="left" vertical="center"/>
    </xf>
    <xf numFmtId="0" fontId="6" fillId="9" borderId="1" xfId="0" applyFont="1" applyFill="1" applyBorder="1" applyAlignment="1">
      <alignment horizontal="left" vertical="center"/>
    </xf>
    <xf numFmtId="0" fontId="6" fillId="3" borderId="1" xfId="0" applyFont="1" applyFill="1" applyBorder="1" applyAlignment="1">
      <alignment horizontal="center" vertical="center"/>
    </xf>
    <xf numFmtId="0" fontId="0" fillId="0" borderId="3" xfId="0" applyBorder="1"/>
    <xf numFmtId="0" fontId="0" fillId="0" borderId="4" xfId="0" applyBorder="1"/>
    <xf numFmtId="0" fontId="6" fillId="4" borderId="1" xfId="0" applyFont="1" applyFill="1" applyBorder="1" applyAlignment="1">
      <alignment horizontal="center" vertical="center"/>
    </xf>
    <xf numFmtId="0" fontId="7" fillId="5" borderId="1" xfId="0" applyFont="1" applyFill="1" applyBorder="1" applyAlignment="1">
      <alignment horizontal="left" vertical="center"/>
    </xf>
    <xf numFmtId="0" fontId="5" fillId="5" borderId="1" xfId="0" applyFont="1" applyFill="1" applyBorder="1" applyAlignment="1">
      <alignment horizontal="center" vertical="center" wrapText="1"/>
    </xf>
    <xf numFmtId="0" fontId="7" fillId="7" borderId="1" xfId="0" applyFont="1" applyFill="1" applyBorder="1" applyAlignment="1">
      <alignment horizontal="left" vertical="center"/>
    </xf>
    <xf numFmtId="178" fontId="5" fillId="7" borderId="1" xfId="0" applyNumberFormat="1" applyFont="1" applyFill="1" applyBorder="1" applyAlignment="1">
      <alignment horizontal="center" vertical="center" wrapText="1"/>
    </xf>
    <xf numFmtId="178" fontId="5" fillId="5" borderId="1" xfId="0" applyNumberFormat="1" applyFont="1" applyFill="1" applyBorder="1" applyAlignment="1">
      <alignment horizontal="center" vertical="center" wrapText="1"/>
    </xf>
    <xf numFmtId="0" fontId="5" fillId="7" borderId="1" xfId="0" applyFont="1" applyFill="1" applyBorder="1" applyAlignment="1">
      <alignment horizontal="center" vertical="center" wrapText="1"/>
    </xf>
    <xf numFmtId="0" fontId="8" fillId="0" borderId="0" xfId="0" applyFont="1" applyAlignment="1">
      <alignment horizontal="left" vertical="center" wrapText="1"/>
    </xf>
    <xf numFmtId="0" fontId="7" fillId="0" borderId="1" xfId="0" applyFont="1" applyBorder="1"/>
    <xf numFmtId="180" fontId="9" fillId="8" borderId="1" xfId="0" applyNumberFormat="1" applyFont="1" applyFill="1" applyBorder="1" applyAlignment="1">
      <alignment horizontal="center" vertical="center"/>
    </xf>
    <xf numFmtId="0" fontId="6" fillId="2" borderId="1" xfId="0" applyFont="1" applyFill="1" applyBorder="1" applyAlignment="1">
      <alignment horizontal="center" vertical="center"/>
    </xf>
    <xf numFmtId="178" fontId="0" fillId="5" borderId="1" xfId="0" applyNumberFormat="1" applyFill="1" applyBorder="1" applyAlignment="1">
      <alignment horizontal="center" vertical="center"/>
    </xf>
    <xf numFmtId="180" fontId="0" fillId="5" borderId="1" xfId="0" applyNumberFormat="1" applyFill="1" applyBorder="1" applyAlignment="1">
      <alignment horizontal="center" vertical="center"/>
    </xf>
    <xf numFmtId="178" fontId="0" fillId="7" borderId="1" xfId="0" applyNumberFormat="1" applyFill="1" applyBorder="1" applyAlignment="1">
      <alignment horizontal="center" vertical="center"/>
    </xf>
    <xf numFmtId="180" fontId="0" fillId="7" borderId="1" xfId="0" applyNumberFormat="1" applyFill="1" applyBorder="1" applyAlignment="1">
      <alignment horizontal="center" vertical="center"/>
    </xf>
    <xf numFmtId="0" fontId="3" fillId="2" borderId="2" xfId="0" applyFont="1" applyFill="1" applyBorder="1" applyAlignment="1">
      <alignment horizontal="left" vertical="center"/>
    </xf>
    <xf numFmtId="178" fontId="3" fillId="2" borderId="2" xfId="0" applyNumberFormat="1" applyFont="1" applyFill="1" applyBorder="1" applyAlignment="1">
      <alignment horizontal="center" vertical="center"/>
    </xf>
    <xf numFmtId="180" fontId="3" fillId="2" borderId="2" xfId="0" applyNumberFormat="1" applyFont="1" applyFill="1" applyBorder="1" applyAlignment="1">
      <alignment horizontal="center" vertical="center"/>
    </xf>
    <xf numFmtId="0" fontId="10" fillId="0" borderId="1" xfId="0" applyFont="1" applyBorder="1" applyAlignment="1">
      <alignment horizontal="left" vertical="center" wrapText="1"/>
    </xf>
    <xf numFmtId="178" fontId="7" fillId="5" borderId="1" xfId="0" applyNumberFormat="1" applyFont="1" applyFill="1" applyBorder="1" applyAlignment="1">
      <alignment horizontal="center" vertical="center"/>
    </xf>
    <xf numFmtId="178" fontId="11" fillId="5" borderId="1" xfId="0" applyNumberFormat="1" applyFont="1" applyFill="1" applyBorder="1" applyAlignment="1">
      <alignment horizontal="center" vertical="center"/>
    </xf>
    <xf numFmtId="178" fontId="7" fillId="7" borderId="1" xfId="0" applyNumberFormat="1" applyFont="1" applyFill="1" applyBorder="1" applyAlignment="1">
      <alignment horizontal="center" vertical="center"/>
    </xf>
    <xf numFmtId="178" fontId="11" fillId="7" borderId="1" xfId="0" applyNumberFormat="1" applyFont="1" applyFill="1" applyBorder="1" applyAlignment="1">
      <alignment horizontal="center" vertical="center"/>
    </xf>
    <xf numFmtId="0" fontId="0" fillId="2" borderId="2" xfId="0" applyFill="1" applyBorder="1"/>
    <xf numFmtId="0" fontId="6" fillId="9" borderId="0" xfId="0" applyFont="1" applyFill="1" applyAlignment="1">
      <alignment horizontal="left" vertical="center"/>
    </xf>
    <xf numFmtId="3" fontId="0" fillId="5" borderId="1" xfId="0" applyNumberFormat="1" applyFill="1" applyBorder="1" applyAlignment="1">
      <alignment horizontal="center" vertical="center"/>
    </xf>
    <xf numFmtId="181" fontId="0" fillId="5" borderId="1" xfId="0" applyNumberFormat="1" applyFill="1" applyBorder="1" applyAlignment="1">
      <alignment horizontal="center" vertical="center"/>
    </xf>
    <xf numFmtId="0" fontId="5" fillId="0" borderId="1" xfId="0" applyFont="1" applyBorder="1" applyAlignment="1">
      <alignment horizontal="left" vertical="center"/>
    </xf>
    <xf numFmtId="3" fontId="0" fillId="0" borderId="1" xfId="0" applyNumberFormat="1" applyBorder="1" applyAlignment="1">
      <alignment horizontal="center" vertical="center"/>
    </xf>
    <xf numFmtId="181" fontId="0" fillId="0" borderId="1" xfId="0" applyNumberFormat="1" applyBorder="1" applyAlignment="1">
      <alignment horizontal="center" vertical="center"/>
    </xf>
    <xf numFmtId="178" fontId="0" fillId="0" borderId="1" xfId="0" applyNumberFormat="1" applyBorder="1" applyAlignment="1">
      <alignment horizontal="center" vertical="center"/>
    </xf>
    <xf numFmtId="0" fontId="0" fillId="5" borderId="1" xfId="0" applyFill="1" applyBorder="1" applyAlignment="1">
      <alignment horizontal="center" vertical="center"/>
    </xf>
    <xf numFmtId="0" fontId="5" fillId="10" borderId="1" xfId="0" applyFont="1" applyFill="1" applyBorder="1" applyAlignment="1">
      <alignment horizontal="left" vertical="center"/>
    </xf>
    <xf numFmtId="3" fontId="0" fillId="10" borderId="1" xfId="0" applyNumberFormat="1" applyFill="1" applyBorder="1" applyAlignment="1">
      <alignment horizontal="center" vertical="center"/>
    </xf>
    <xf numFmtId="181" fontId="0" fillId="10" borderId="1" xfId="0" applyNumberFormat="1" applyFill="1" applyBorder="1" applyAlignment="1">
      <alignment horizontal="center" vertical="center"/>
    </xf>
    <xf numFmtId="178" fontId="0" fillId="10" borderId="1" xfId="0" applyNumberFormat="1" applyFill="1" applyBorder="1" applyAlignment="1">
      <alignment horizontal="center" vertical="center"/>
    </xf>
    <xf numFmtId="0" fontId="7" fillId="10" borderId="1" xfId="0" applyFont="1" applyFill="1" applyBorder="1" applyAlignment="1">
      <alignment horizontal="left" vertical="center"/>
    </xf>
    <xf numFmtId="0" fontId="0" fillId="10" borderId="1" xfId="0" applyFill="1" applyBorder="1" applyAlignment="1">
      <alignment horizontal="center" vertical="center"/>
    </xf>
    <xf numFmtId="178" fontId="7" fillId="10" borderId="1" xfId="0" applyNumberFormat="1" applyFont="1" applyFill="1" applyBorder="1" applyAlignment="1">
      <alignment horizontal="center" vertical="center"/>
    </xf>
    <xf numFmtId="0" fontId="5" fillId="11" borderId="1" xfId="0" applyFont="1" applyFill="1" applyBorder="1" applyAlignment="1">
      <alignment horizontal="left" vertical="center"/>
    </xf>
    <xf numFmtId="3" fontId="0" fillId="11" borderId="1" xfId="0" applyNumberFormat="1" applyFill="1" applyBorder="1" applyAlignment="1">
      <alignment horizontal="center" vertical="center"/>
    </xf>
    <xf numFmtId="181" fontId="0" fillId="11" borderId="1" xfId="0" applyNumberFormat="1" applyFill="1" applyBorder="1" applyAlignment="1">
      <alignment horizontal="center" vertical="center"/>
    </xf>
    <xf numFmtId="178" fontId="0" fillId="11" borderId="1" xfId="0" applyNumberFormat="1" applyFill="1" applyBorder="1" applyAlignment="1">
      <alignment horizontal="center" vertical="center"/>
    </xf>
    <xf numFmtId="0" fontId="7" fillId="11" borderId="1" xfId="0" applyFont="1" applyFill="1" applyBorder="1" applyAlignment="1">
      <alignment horizontal="left" vertical="center"/>
    </xf>
    <xf numFmtId="0" fontId="0" fillId="11" borderId="1" xfId="0" applyFill="1" applyBorder="1" applyAlignment="1">
      <alignment horizontal="center" vertical="center"/>
    </xf>
    <xf numFmtId="178" fontId="7" fillId="11" borderId="1" xfId="0" applyNumberFormat="1" applyFont="1" applyFill="1" applyBorder="1" applyAlignment="1">
      <alignment horizontal="center" vertical="center"/>
    </xf>
    <xf numFmtId="0" fontId="3" fillId="2" borderId="2" xfId="0" applyFont="1" applyFill="1" applyBorder="1" applyAlignment="1">
      <alignment horizontal="center" vertical="center"/>
    </xf>
    <xf numFmtId="178" fontId="5" fillId="0" borderId="1" xfId="0" applyNumberFormat="1" applyFont="1" applyBorder="1" applyAlignment="1">
      <alignment horizontal="center" vertical="center"/>
    </xf>
    <xf numFmtId="3" fontId="0" fillId="0" borderId="0" xfId="0" applyNumberFormat="1"/>
    <xf numFmtId="178" fontId="5" fillId="11" borderId="1" xfId="0" applyNumberFormat="1" applyFont="1" applyFill="1" applyBorder="1" applyAlignment="1">
      <alignment horizontal="center" vertical="center"/>
    </xf>
    <xf numFmtId="0" fontId="5" fillId="12" borderId="1" xfId="0" applyFont="1" applyFill="1" applyBorder="1" applyAlignment="1">
      <alignment horizontal="left" vertical="center"/>
    </xf>
    <xf numFmtId="178" fontId="5" fillId="12" borderId="1" xfId="0" applyNumberFormat="1" applyFont="1" applyFill="1" applyBorder="1" applyAlignment="1">
      <alignment horizontal="center" vertical="center"/>
    </xf>
    <xf numFmtId="0" fontId="3" fillId="2" borderId="1" xfId="0" applyFont="1" applyFill="1" applyBorder="1" applyAlignment="1">
      <alignment horizontal="left" vertical="center"/>
    </xf>
    <xf numFmtId="178" fontId="3" fillId="2" borderId="1" xfId="0" applyNumberFormat="1" applyFont="1" applyFill="1" applyBorder="1" applyAlignment="1">
      <alignment horizontal="center" vertical="center"/>
    </xf>
    <xf numFmtId="0" fontId="12" fillId="13" borderId="1" xfId="0" applyFont="1" applyFill="1" applyBorder="1" applyAlignment="1">
      <alignment horizontal="left" vertical="center"/>
    </xf>
    <xf numFmtId="0" fontId="0" fillId="13" borderId="1" xfId="0" applyFill="1" applyBorder="1" applyAlignment="1">
      <alignment horizontal="center" vertical="center"/>
    </xf>
    <xf numFmtId="178" fontId="12" fillId="13" borderId="1" xfId="0" applyNumberFormat="1" applyFont="1" applyFill="1" applyBorder="1" applyAlignment="1">
      <alignment horizontal="center" vertical="center"/>
    </xf>
    <xf numFmtId="0" fontId="0" fillId="13" borderId="1" xfId="0" applyFill="1" applyBorder="1"/>
    <xf numFmtId="3" fontId="9" fillId="8" borderId="1" xfId="0" applyNumberFormat="1" applyFont="1" applyFill="1" applyBorder="1" applyAlignment="1">
      <alignment horizontal="center" vertical="center"/>
    </xf>
    <xf numFmtId="179" fontId="9" fillId="8" borderId="1" xfId="0" applyNumberFormat="1" applyFont="1" applyFill="1" applyBorder="1" applyAlignment="1">
      <alignment horizontal="center" vertical="center"/>
    </xf>
    <xf numFmtId="1" fontId="9" fillId="8" borderId="1" xfId="0" applyNumberFormat="1" applyFont="1" applyFill="1" applyBorder="1" applyAlignment="1">
      <alignment horizontal="center" vertical="center"/>
    </xf>
    <xf numFmtId="182" fontId="9" fillId="8" borderId="1" xfId="0" applyNumberFormat="1" applyFont="1" applyFill="1" applyBorder="1" applyAlignment="1">
      <alignment horizontal="center" vertical="center"/>
    </xf>
    <xf numFmtId="178" fontId="9" fillId="8" borderId="1" xfId="0" applyNumberFormat="1" applyFont="1" applyFill="1" applyBorder="1" applyAlignment="1">
      <alignment horizontal="center" vertical="center"/>
    </xf>
    <xf numFmtId="183" fontId="9" fillId="8" borderId="1" xfId="0" applyNumberFormat="1" applyFont="1" applyFill="1" applyBorder="1" applyAlignment="1">
      <alignment horizontal="center" vertical="center"/>
    </xf>
    <xf numFmtId="49" fontId="9" fillId="8" borderId="1" xfId="0" applyNumberFormat="1" applyFont="1" applyFill="1" applyBorder="1" applyAlignment="1">
      <alignment horizontal="center" vertical="center"/>
    </xf>
    <xf numFmtId="0" fontId="0" fillId="2" borderId="0" xfId="0" applyFill="1"/>
    <xf numFmtId="0" fontId="13" fillId="2" borderId="0" xfId="0" applyFont="1" applyFill="1" applyAlignment="1">
      <alignment horizontal="left" vertical="center"/>
    </xf>
    <xf numFmtId="0" fontId="14" fillId="2" borderId="0" xfId="0" applyFont="1" applyFill="1" applyAlignment="1">
      <alignment horizontal="left" vertical="center"/>
    </xf>
    <xf numFmtId="0" fontId="15" fillId="2" borderId="0" xfId="0" applyFont="1" applyFill="1" applyAlignment="1">
      <alignment horizontal="left" vertical="center"/>
    </xf>
    <xf numFmtId="0" fontId="0" fillId="13" borderId="0" xfId="0" applyFill="1"/>
    <xf numFmtId="0" fontId="16" fillId="13" borderId="0" xfId="0" applyFont="1" applyFill="1" applyAlignment="1">
      <alignment horizontal="left" vertical="center"/>
    </xf>
    <xf numFmtId="0" fontId="6" fillId="2" borderId="0" xfId="0" applyFont="1" applyFill="1"/>
    <xf numFmtId="0" fontId="5" fillId="7" borderId="0" xfId="0" applyFont="1" applyFill="1"/>
    <xf numFmtId="0" fontId="2" fillId="7" borderId="0" xfId="0" applyFont="1" applyFill="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E3A8A"/>
  </sheetPr>
  <dimension ref="A1:G21"/>
  <sheetViews>
    <sheetView showGridLines="0" topLeftCell="A3" workbookViewId="0">
      <selection activeCell="H10" sqref="H10"/>
    </sheetView>
  </sheetViews>
  <sheetFormatPr defaultColWidth="9" defaultRowHeight="14.5" outlineLevelCol="6"/>
  <cols>
    <col min="1" max="1" width="5" customWidth="1"/>
    <col min="2" max="2" width="55" customWidth="1"/>
    <col min="3" max="3" width="25" customWidth="1"/>
  </cols>
  <sheetData>
    <row r="1" ht="22" customHeight="1" spans="1:7">
      <c r="A1" s="90"/>
      <c r="B1" s="90"/>
      <c r="C1" s="90"/>
      <c r="D1" s="90"/>
      <c r="E1" s="90"/>
      <c r="F1" s="90"/>
      <c r="G1" s="90"/>
    </row>
    <row r="2" ht="22" customHeight="1" spans="1:7">
      <c r="A2" s="90"/>
      <c r="B2" s="91" t="s">
        <v>0</v>
      </c>
      <c r="G2" s="90"/>
    </row>
    <row r="3" ht="22" customHeight="1" spans="1:7">
      <c r="A3" s="90"/>
      <c r="B3" s="92" t="s">
        <v>1</v>
      </c>
      <c r="G3" s="90"/>
    </row>
    <row r="4" ht="22" customHeight="1" spans="1:7">
      <c r="A4" s="90"/>
      <c r="B4" s="93" t="s">
        <v>2</v>
      </c>
      <c r="G4" s="90"/>
    </row>
    <row r="5" ht="22" customHeight="1" spans="1:7">
      <c r="A5" s="94"/>
      <c r="B5" s="95" t="s">
        <v>3</v>
      </c>
      <c r="G5" s="94"/>
    </row>
    <row r="6" ht="22" customHeight="1"/>
    <row r="7" ht="22" customHeight="1"/>
    <row r="9" spans="1:7">
      <c r="B9" s="96" t="s">
        <v>4</v>
      </c>
    </row>
    <row r="10" spans="1:7">
      <c r="B10" s="97" t="s">
        <v>5</v>
      </c>
      <c r="C10" s="98" t="s">
        <v>6</v>
      </c>
    </row>
    <row r="11" spans="1:7">
      <c r="B11" s="97" t="s">
        <v>7</v>
      </c>
      <c r="C11" s="98" t="s">
        <v>8</v>
      </c>
    </row>
    <row r="12" spans="1:7">
      <c r="B12" s="97" t="s">
        <v>9</v>
      </c>
      <c r="C12" s="98" t="s">
        <v>10</v>
      </c>
    </row>
    <row r="13" spans="1:7">
      <c r="B13" s="97" t="s">
        <v>11</v>
      </c>
      <c r="C13" s="98" t="s">
        <v>12</v>
      </c>
    </row>
    <row r="15" spans="1:7">
      <c r="B15" s="96" t="s">
        <v>13</v>
      </c>
    </row>
    <row r="16" spans="1:7">
      <c r="B16" s="97" t="s">
        <v>14</v>
      </c>
      <c r="C16" s="98" t="s">
        <v>15</v>
      </c>
    </row>
    <row r="17" spans="2:3">
      <c r="B17" s="97" t="s">
        <v>16</v>
      </c>
      <c r="C17" s="98" t="s">
        <v>17</v>
      </c>
    </row>
    <row r="18" spans="2:3">
      <c r="B18" s="97" t="s">
        <v>18</v>
      </c>
      <c r="C18" s="98" t="s">
        <v>19</v>
      </c>
    </row>
    <row r="19" spans="2:3">
      <c r="B19" s="97" t="s">
        <v>20</v>
      </c>
      <c r="C19" s="98" t="s">
        <v>21</v>
      </c>
    </row>
    <row r="20" spans="2:3">
      <c r="B20" s="97" t="s">
        <v>22</v>
      </c>
      <c r="C20" s="98" t="s">
        <v>23</v>
      </c>
    </row>
    <row r="21" spans="2:3">
      <c r="B21" s="97" t="s">
        <v>24</v>
      </c>
      <c r="C21" s="98" t="s">
        <v>25</v>
      </c>
    </row>
  </sheetData>
  <mergeCells count="6">
    <mergeCell ref="B2:F2"/>
    <mergeCell ref="B3:F3"/>
    <mergeCell ref="B4:F4"/>
    <mergeCell ref="B5:F5"/>
    <mergeCell ref="B9:E9"/>
    <mergeCell ref="B15:E15"/>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59E0B"/>
  </sheetPr>
  <dimension ref="B1:D35"/>
  <sheetViews>
    <sheetView showGridLines="0" tabSelected="1" workbookViewId="0">
      <pane xSplit="2" ySplit="2" topLeftCell="C13" activePane="bottomRight" state="frozen"/>
      <selection/>
      <selection pane="topRight"/>
      <selection pane="bottomLeft"/>
      <selection pane="bottomRight" activeCell="C23" sqref="C23"/>
    </sheetView>
  </sheetViews>
  <sheetFormatPr defaultColWidth="9" defaultRowHeight="14.5" outlineLevelCol="3"/>
  <cols>
    <col min="1" max="1" width="3" customWidth="1"/>
    <col min="2" max="2" width="38" customWidth="1"/>
    <col min="3" max="3" width="18" customWidth="1"/>
    <col min="4" max="4" width="38" customWidth="1"/>
    <col min="5" max="5" width="5" customWidth="1"/>
  </cols>
  <sheetData>
    <row r="1" ht="28" customHeight="1" spans="2:4">
      <c r="B1" s="1" t="s">
        <v>26</v>
      </c>
    </row>
    <row r="2" ht="20" customHeight="1" spans="2:4">
      <c r="B2" s="21" t="s">
        <v>27</v>
      </c>
      <c r="C2" s="23"/>
      <c r="D2" s="24"/>
    </row>
    <row r="3" ht="20" customHeight="1" spans="2:4">
      <c r="B3" s="52" t="s">
        <v>28</v>
      </c>
      <c r="C3" s="83">
        <v>800</v>
      </c>
      <c r="D3" s="43" t="s">
        <v>29</v>
      </c>
    </row>
    <row r="4" ht="20" customHeight="1" spans="2:4">
      <c r="B4" s="52" t="s">
        <v>30</v>
      </c>
      <c r="C4" s="83">
        <v>400</v>
      </c>
      <c r="D4" s="43" t="s">
        <v>31</v>
      </c>
    </row>
    <row r="5" ht="20" customHeight="1" spans="2:4">
      <c r="B5" s="52" t="s">
        <v>32</v>
      </c>
      <c r="C5" s="84">
        <v>2</v>
      </c>
      <c r="D5" s="43" t="s">
        <v>33</v>
      </c>
    </row>
    <row r="6" ht="20" customHeight="1" spans="2:4">
      <c r="B6" s="52" t="s">
        <v>34</v>
      </c>
      <c r="C6" s="85">
        <v>4</v>
      </c>
      <c r="D6" s="43" t="s">
        <v>35</v>
      </c>
    </row>
    <row r="7" ht="20" customHeight="1" spans="2:4">
      <c r="B7" s="52" t="s">
        <v>36</v>
      </c>
      <c r="C7" s="86">
        <v>0.7</v>
      </c>
      <c r="D7" s="43" t="s">
        <v>37</v>
      </c>
    </row>
    <row r="8" ht="20" customHeight="1"/>
    <row r="9" ht="20" customHeight="1" spans="2:4">
      <c r="B9" s="21" t="s">
        <v>38</v>
      </c>
      <c r="C9" s="23"/>
      <c r="D9" s="24"/>
    </row>
    <row r="10" ht="20" customHeight="1" spans="2:4">
      <c r="B10" s="52" t="s">
        <v>39</v>
      </c>
      <c r="C10" s="87">
        <v>0.025</v>
      </c>
      <c r="D10" s="43" t="s">
        <v>40</v>
      </c>
    </row>
    <row r="11" ht="20" customHeight="1" spans="2:4">
      <c r="B11" s="52" t="s">
        <v>41</v>
      </c>
      <c r="C11" s="85">
        <v>1</v>
      </c>
      <c r="D11" s="43" t="s">
        <v>42</v>
      </c>
    </row>
    <row r="12" ht="20" customHeight="1" spans="2:4">
      <c r="B12" s="52" t="s">
        <v>43</v>
      </c>
      <c r="C12" s="85">
        <v>1</v>
      </c>
      <c r="D12" s="43" t="s">
        <v>44</v>
      </c>
    </row>
    <row r="13" ht="20" customHeight="1" spans="2:4">
      <c r="B13" s="52" t="s">
        <v>45</v>
      </c>
      <c r="C13" s="85">
        <v>2</v>
      </c>
      <c r="D13" s="43" t="s">
        <v>46</v>
      </c>
    </row>
    <row r="14" ht="20" customHeight="1" spans="2:4">
      <c r="B14" s="52" t="s">
        <v>47</v>
      </c>
      <c r="C14" s="85">
        <v>1</v>
      </c>
      <c r="D14" s="43" t="s">
        <v>48</v>
      </c>
    </row>
    <row r="15" ht="20" customHeight="1" spans="2:4">
      <c r="B15" s="52" t="s">
        <v>49</v>
      </c>
      <c r="C15" s="86">
        <v>0.05</v>
      </c>
      <c r="D15" s="43" t="s">
        <v>50</v>
      </c>
    </row>
    <row r="16" ht="20" customHeight="1"/>
    <row r="17" ht="20" customHeight="1" spans="2:4">
      <c r="B17" s="21" t="s">
        <v>51</v>
      </c>
      <c r="C17" s="23"/>
      <c r="D17" s="24"/>
    </row>
    <row r="18" ht="20" customHeight="1" spans="2:4">
      <c r="B18" s="52" t="s">
        <v>52</v>
      </c>
      <c r="C18" s="88">
        <v>0.0009</v>
      </c>
      <c r="D18" s="43" t="s">
        <v>53</v>
      </c>
    </row>
    <row r="19" ht="20" customHeight="1" spans="2:4">
      <c r="B19" s="52" t="s">
        <v>54</v>
      </c>
      <c r="C19" s="85">
        <v>1</v>
      </c>
      <c r="D19" s="43" t="s">
        <v>55</v>
      </c>
    </row>
    <row r="20" ht="20" customHeight="1" spans="2:4">
      <c r="B20" s="52" t="s">
        <v>56</v>
      </c>
      <c r="C20" s="85">
        <v>2</v>
      </c>
      <c r="D20" s="43" t="s">
        <v>57</v>
      </c>
    </row>
    <row r="21" ht="20" customHeight="1"/>
    <row r="22" ht="20" customHeight="1" spans="2:4">
      <c r="B22" s="21" t="s">
        <v>58</v>
      </c>
      <c r="C22" s="23"/>
      <c r="D22" s="24"/>
    </row>
    <row r="23" ht="20" customHeight="1" spans="2:4">
      <c r="B23" s="52" t="s">
        <v>59</v>
      </c>
      <c r="C23" s="89" t="s">
        <v>60</v>
      </c>
      <c r="D23" s="43" t="s">
        <v>61</v>
      </c>
    </row>
    <row r="24" ht="20" customHeight="1" spans="2:4">
      <c r="B24" s="52" t="s">
        <v>62</v>
      </c>
      <c r="C24" s="88">
        <v>0.0036</v>
      </c>
      <c r="D24" s="43" t="s">
        <v>63</v>
      </c>
    </row>
    <row r="25" ht="20" customHeight="1" spans="2:4">
      <c r="B25" s="52" t="s">
        <v>64</v>
      </c>
      <c r="C25" s="85">
        <v>4</v>
      </c>
      <c r="D25" s="43" t="s">
        <v>65</v>
      </c>
    </row>
    <row r="26" ht="20" customHeight="1"/>
    <row r="27" ht="20" customHeight="1" spans="2:4">
      <c r="B27" s="21" t="s">
        <v>66</v>
      </c>
      <c r="C27" s="23"/>
      <c r="D27" s="24"/>
    </row>
    <row r="28" ht="20" customHeight="1" spans="2:4">
      <c r="B28" s="52" t="s">
        <v>67</v>
      </c>
      <c r="C28" s="87">
        <v>18</v>
      </c>
      <c r="D28" s="43" t="s">
        <v>68</v>
      </c>
    </row>
    <row r="29" ht="20" customHeight="1"/>
    <row r="30" ht="20" customHeight="1" spans="2:4">
      <c r="B30" s="21" t="s">
        <v>69</v>
      </c>
      <c r="C30" s="23"/>
      <c r="D30" s="24"/>
    </row>
    <row r="31" ht="20" customHeight="1" spans="2:4">
      <c r="B31" s="52" t="s">
        <v>70</v>
      </c>
      <c r="C31" s="87">
        <v>15</v>
      </c>
      <c r="D31" s="43" t="s">
        <v>71</v>
      </c>
    </row>
    <row r="32" ht="20" customHeight="1"/>
    <row r="33" ht="20" customHeight="1" spans="2:4">
      <c r="B33" s="21" t="s">
        <v>72</v>
      </c>
      <c r="C33" s="23"/>
      <c r="D33" s="24"/>
    </row>
    <row r="34" ht="20" customHeight="1" spans="2:4">
      <c r="B34" s="52" t="s">
        <v>73</v>
      </c>
      <c r="C34" s="86">
        <v>0.2</v>
      </c>
      <c r="D34" s="43" t="s">
        <v>74</v>
      </c>
    </row>
    <row r="35" ht="20" customHeight="1" spans="2:4">
      <c r="B35" s="52" t="s">
        <v>75</v>
      </c>
      <c r="C35" s="85">
        <v>2</v>
      </c>
      <c r="D35" s="43" t="s">
        <v>76</v>
      </c>
    </row>
  </sheetData>
  <mergeCells count="8">
    <mergeCell ref="B1:D1"/>
    <mergeCell ref="B2:D2"/>
    <mergeCell ref="B9:D9"/>
    <mergeCell ref="B17:D17"/>
    <mergeCell ref="B22:D22"/>
    <mergeCell ref="B27:D27"/>
    <mergeCell ref="B30:D30"/>
    <mergeCell ref="B33:D33"/>
  </mergeCell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6A34A"/>
  </sheetPr>
  <dimension ref="B1:F24"/>
  <sheetViews>
    <sheetView showGridLines="0" workbookViewId="0">
      <pane xSplit="2" ySplit="2" topLeftCell="C3" activePane="bottomRight" state="frozen"/>
      <selection/>
      <selection pane="topRight"/>
      <selection pane="bottomLeft"/>
      <selection pane="bottomRight" activeCell="F9" sqref="F9"/>
    </sheetView>
  </sheetViews>
  <sheetFormatPr defaultColWidth="9" defaultRowHeight="14.5" outlineLevelCol="5"/>
  <cols>
    <col min="1" max="1" width="3" customWidth="1"/>
    <col min="2" max="2" width="40" customWidth="1"/>
    <col min="3" max="5" width="20" customWidth="1"/>
    <col min="6" max="6" width="7.81818181818182" customWidth="1"/>
  </cols>
  <sheetData>
    <row r="1" ht="28" customHeight="1" spans="2:6">
      <c r="B1" s="1" t="s">
        <v>77</v>
      </c>
    </row>
    <row r="2" ht="20" customHeight="1" spans="2:6">
      <c r="B2" s="35" t="s">
        <v>78</v>
      </c>
      <c r="C2" s="35" t="s">
        <v>79</v>
      </c>
      <c r="D2" s="35" t="s">
        <v>80</v>
      </c>
      <c r="E2" s="35" t="s">
        <v>81</v>
      </c>
    </row>
    <row r="3" ht="20" customHeight="1" spans="2:6">
      <c r="B3" s="49" t="s">
        <v>82</v>
      </c>
    </row>
    <row r="4" ht="20" customHeight="1" spans="2:6">
      <c r="B4" s="52" t="s">
        <v>83</v>
      </c>
      <c r="C4" s="72">
        <f>'⚙️ Assumptions'!C28</f>
        <v>18</v>
      </c>
      <c r="D4" s="72">
        <f>'⚙️ Assumptions'!C28*12</f>
        <v>216</v>
      </c>
      <c r="E4" s="43" t="s">
        <v>84</v>
      </c>
    </row>
    <row r="5" ht="20" customHeight="1" spans="2:6">
      <c r="B5" s="49" t="s">
        <v>85</v>
      </c>
    </row>
    <row r="6" ht="20" customHeight="1" spans="2:6">
      <c r="B6" s="52" t="s">
        <v>86</v>
      </c>
      <c r="C6" s="72">
        <f>F6*'⚙️ Assumptions'!C10</f>
        <v>144.8</v>
      </c>
      <c r="D6" s="72">
        <f>C6*12</f>
        <v>1737.6</v>
      </c>
      <c r="E6" s="43" t="s">
        <v>87</v>
      </c>
      <c r="F6" s="73">
        <f>ROUND(('⚙️ Assumptions'!C4*'⚙️ Assumptions'!C7*'⚙️ Assumptions'!C5*'⚙️ Assumptions'!C6*('⚙️ Assumptions'!C11+'⚙️ Assumptions'!C12))+('⚙️ Assumptions'!C4*'⚙️ Assumptions'!C13)+('⚙️ Assumptions'!C4*'⚙️ Assumptions'!C14)+('⚙️ Assumptions'!C4*'⚙️ Assumptions'!C7*'⚙️ Assumptions'!C5*'⚙️ Assumptions'!C6*'⚙️ Assumptions'!C15),0)</f>
        <v>5792</v>
      </c>
    </row>
    <row r="7" ht="20" customHeight="1" spans="2:6">
      <c r="B7" s="11" t="s">
        <v>88</v>
      </c>
      <c r="C7" s="13">
        <f>F6</f>
        <v>5792</v>
      </c>
      <c r="D7" s="13">
        <f>F6*12</f>
        <v>69504</v>
      </c>
      <c r="E7" s="43" t="s">
        <v>89</v>
      </c>
    </row>
    <row r="8" ht="20" customHeight="1" spans="2:6">
      <c r="B8" s="49" t="s">
        <v>90</v>
      </c>
    </row>
    <row r="9" ht="20" customHeight="1" spans="2:6">
      <c r="B9" s="52" t="s">
        <v>91</v>
      </c>
      <c r="C9" s="72">
        <f>F9*'⚙️ Assumptions'!C18</f>
        <v>1.44</v>
      </c>
      <c r="D9" s="72">
        <f>C9*12</f>
        <v>17.28</v>
      </c>
      <c r="E9" s="43" t="s">
        <v>92</v>
      </c>
      <c r="F9" s="73">
        <f>ROUND('⚙️ Assumptions'!C4*'⚙️ Assumptions'!C5*'⚙️ Assumptions'!C19+'⚙️ Assumptions'!C4*'⚙️ Assumptions'!C20,0)</f>
        <v>1600</v>
      </c>
    </row>
    <row r="10" ht="20" customHeight="1" spans="2:6">
      <c r="B10" s="11" t="s">
        <v>93</v>
      </c>
      <c r="C10" s="13">
        <f>F9</f>
        <v>1600</v>
      </c>
      <c r="D10" s="13">
        <f>F9*12</f>
        <v>19200</v>
      </c>
      <c r="E10" s="43" t="s">
        <v>92</v>
      </c>
    </row>
    <row r="11" ht="20" customHeight="1" spans="2:6">
      <c r="B11" s="49" t="s">
        <v>94</v>
      </c>
    </row>
    <row r="12" ht="20" customHeight="1" spans="2:6">
      <c r="B12" s="64" t="s">
        <v>95</v>
      </c>
      <c r="C12" s="74">
        <f>F12*'⚙️ Assumptions'!C24</f>
        <v>0</v>
      </c>
      <c r="D12" s="74">
        <f>C12*12</f>
        <v>0</v>
      </c>
      <c r="E12" s="43" t="s">
        <v>96</v>
      </c>
      <c r="F12" s="73">
        <f>IF('⚙️ Assumptions'!C23="YES",ROUND('⚙️ Assumptions'!C4*'⚙️ Assumptions'!C25,0),0)</f>
        <v>0</v>
      </c>
    </row>
    <row r="13" ht="20" customHeight="1" spans="2:6">
      <c r="B13" s="11" t="s">
        <v>97</v>
      </c>
      <c r="C13" s="13">
        <f>F12</f>
        <v>0</v>
      </c>
      <c r="D13" s="13">
        <f>F12*12</f>
        <v>0</v>
      </c>
      <c r="E13" s="43" t="s">
        <v>92</v>
      </c>
    </row>
    <row r="14" ht="20" customHeight="1" spans="2:6">
      <c r="B14" s="49" t="s">
        <v>98</v>
      </c>
    </row>
    <row r="15" ht="20" customHeight="1" spans="2:6">
      <c r="B15" s="75" t="s">
        <v>99</v>
      </c>
      <c r="C15" s="76">
        <f>(C6+C9+C12)*'⚙️ Assumptions'!C34</f>
        <v>29.248</v>
      </c>
      <c r="D15" s="76">
        <f>(C6+C9+C12)*'⚙️ Assumptions'!C34*12</f>
        <v>350.976</v>
      </c>
      <c r="E15" s="43" t="s">
        <v>100</v>
      </c>
    </row>
    <row r="16" ht="20" customHeight="1" spans="2:6">
      <c r="B16" s="75" t="s">
        <v>101</v>
      </c>
      <c r="C16" s="76" t="s">
        <v>102</v>
      </c>
      <c r="D16" s="76">
        <f>(C6+C9+C12)*(1+'⚙️ Assumptions'!C34)*'⚙️ Assumptions'!C35</f>
        <v>350.976</v>
      </c>
      <c r="E16" s="43" t="s">
        <v>103</v>
      </c>
    </row>
    <row r="17" ht="20" customHeight="1" spans="2:5">
      <c r="B17" s="49" t="s">
        <v>104</v>
      </c>
    </row>
    <row r="18" ht="20" customHeight="1" spans="2:5">
      <c r="B18" s="52" t="s">
        <v>105</v>
      </c>
      <c r="C18" s="72">
        <f>ROUND('⚙️ Assumptions'!C31/12,2)</f>
        <v>1.25</v>
      </c>
      <c r="D18" s="72">
        <f>'⚙️ Assumptions'!C31</f>
        <v>15</v>
      </c>
      <c r="E18" s="43" t="s">
        <v>106</v>
      </c>
    </row>
    <row r="20" ht="4" customHeight="1"/>
    <row r="21" ht="24" customHeight="1" spans="2:5">
      <c r="B21" s="77" t="s">
        <v>107</v>
      </c>
      <c r="C21" s="78">
        <f>C4+C6+C9+C12+C15+ROUND('⚙️ Assumptions'!C31/12,2)</f>
        <v>194.738</v>
      </c>
      <c r="D21" s="78">
        <f>D4+D6+D9+D12+D15+'⚙️ Assumptions'!C31</f>
        <v>2336.856</v>
      </c>
      <c r="E21" s="48" t="s">
        <v>92</v>
      </c>
    </row>
    <row r="22" ht="22" customHeight="1" spans="2:5">
      <c r="B22" s="79" t="s">
        <v>108</v>
      </c>
      <c r="C22" s="80" t="s">
        <v>102</v>
      </c>
      <c r="D22" s="81">
        <f>D21+D16</f>
        <v>2687.832</v>
      </c>
      <c r="E22" s="82" t="s">
        <v>92</v>
      </c>
    </row>
    <row r="24" spans="2:5">
      <c r="B24" s="43" t="s">
        <v>109</v>
      </c>
      <c r="C24" s="23"/>
      <c r="D24" s="23"/>
      <c r="E24" s="24"/>
    </row>
  </sheetData>
  <mergeCells count="8">
    <mergeCell ref="B1:E1"/>
    <mergeCell ref="B3:E3"/>
    <mergeCell ref="B5:E5"/>
    <mergeCell ref="B8:E8"/>
    <mergeCell ref="B11:E11"/>
    <mergeCell ref="B14:E14"/>
    <mergeCell ref="B17:E17"/>
    <mergeCell ref="B24:E24"/>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EA5E9"/>
  </sheetPr>
  <dimension ref="B1:F23"/>
  <sheetViews>
    <sheetView showGridLines="0" workbookViewId="0">
      <pane xSplit="2" ySplit="2" topLeftCell="C3" activePane="bottomRight" state="frozen"/>
      <selection/>
      <selection pane="topRight"/>
      <selection pane="bottomLeft"/>
      <selection pane="bottomRight" activeCell="A1" sqref="A1"/>
    </sheetView>
  </sheetViews>
  <sheetFormatPr defaultColWidth="9" defaultRowHeight="14.5" outlineLevelCol="5"/>
  <cols>
    <col min="1" max="1" width="3" customWidth="1"/>
    <col min="2" max="2" width="40" customWidth="1"/>
    <col min="3" max="6" width="18" customWidth="1"/>
    <col min="7" max="7" width="5" customWidth="1"/>
  </cols>
  <sheetData>
    <row r="1" ht="28" customHeight="1" spans="2:6">
      <c r="B1" s="1" t="s">
        <v>110</v>
      </c>
    </row>
    <row r="2" ht="20" customHeight="1" spans="2:6">
      <c r="B2" s="35" t="s">
        <v>111</v>
      </c>
      <c r="C2" s="35" t="s">
        <v>112</v>
      </c>
      <c r="D2" s="35" t="s">
        <v>113</v>
      </c>
      <c r="E2" s="35" t="s">
        <v>114</v>
      </c>
      <c r="F2" s="35" t="s">
        <v>115</v>
      </c>
    </row>
    <row r="3" spans="2:6">
      <c r="B3" s="49" t="s">
        <v>116</v>
      </c>
    </row>
    <row r="4" ht="20" customHeight="1" spans="2:6">
      <c r="B4" s="7" t="s">
        <v>117</v>
      </c>
      <c r="C4" s="50">
        <f>ROUND('⚙️ Assumptions'!C4*'⚙️ Assumptions'!C7*'⚙️ Assumptions'!C5*'⚙️ Assumptions'!C6*'⚙️ Assumptions'!C11,0)</f>
        <v>2240</v>
      </c>
      <c r="D4" s="51">
        <f>'⚙️ Assumptions'!C10</f>
        <v>0.025</v>
      </c>
      <c r="E4" s="36">
        <f>C4*D4</f>
        <v>56</v>
      </c>
      <c r="F4" s="36">
        <f t="shared" ref="F4:F9" si="0">E4*12</f>
        <v>672</v>
      </c>
    </row>
    <row r="5" ht="20" customHeight="1" spans="2:6">
      <c r="B5" s="7" t="s">
        <v>118</v>
      </c>
      <c r="C5" s="50">
        <f>ROUND('⚙️ Assumptions'!C4*'⚙️ Assumptions'!C7*'⚙️ Assumptions'!C5*'⚙️ Assumptions'!C6*'⚙️ Assumptions'!C12,0)</f>
        <v>2240</v>
      </c>
      <c r="D5" s="51">
        <f>'⚙️ Assumptions'!C10</f>
        <v>0.025</v>
      </c>
      <c r="E5" s="36">
        <f>C5*D5</f>
        <v>56</v>
      </c>
      <c r="F5" s="36">
        <f t="shared" si="0"/>
        <v>672</v>
      </c>
    </row>
    <row r="6" ht="20" customHeight="1" spans="2:6">
      <c r="B6" s="52" t="s">
        <v>119</v>
      </c>
      <c r="C6" s="53">
        <f>ROUND('⚙️ Assumptions'!C4*'⚙️ Assumptions'!C13,0)</f>
        <v>800</v>
      </c>
      <c r="D6" s="54">
        <f>'⚙️ Assumptions'!C10</f>
        <v>0.025</v>
      </c>
      <c r="E6" s="55">
        <f>C6*D6</f>
        <v>20</v>
      </c>
      <c r="F6" s="55">
        <f t="shared" si="0"/>
        <v>240</v>
      </c>
    </row>
    <row r="7" ht="20" customHeight="1" spans="2:6">
      <c r="B7" s="52" t="s">
        <v>120</v>
      </c>
      <c r="C7" s="53">
        <f>ROUND('⚙️ Assumptions'!C4*'⚙️ Assumptions'!C14,0)</f>
        <v>400</v>
      </c>
      <c r="D7" s="54">
        <f>'⚙️ Assumptions'!C10</f>
        <v>0.025</v>
      </c>
      <c r="E7" s="55">
        <f>C7*D7</f>
        <v>10</v>
      </c>
      <c r="F7" s="55">
        <f t="shared" si="0"/>
        <v>120</v>
      </c>
    </row>
    <row r="8" ht="20" customHeight="1" spans="2:6">
      <c r="B8" s="52" t="s">
        <v>121</v>
      </c>
      <c r="C8" s="53">
        <f>ROUND('⚙️ Assumptions'!C4*'⚙️ Assumptions'!C7*'⚙️ Assumptions'!C5*'⚙️ Assumptions'!C6*'⚙️ Assumptions'!C15,0)</f>
        <v>112</v>
      </c>
      <c r="D8" s="54">
        <f>'⚙️ Assumptions'!C10</f>
        <v>0.025</v>
      </c>
      <c r="E8" s="55">
        <f>C8*D8</f>
        <v>2.8</v>
      </c>
      <c r="F8" s="55">
        <f t="shared" si="0"/>
        <v>33.6</v>
      </c>
    </row>
    <row r="9" ht="20" customHeight="1" spans="2:6">
      <c r="B9" s="26" t="s">
        <v>122</v>
      </c>
      <c r="C9" s="50">
        <f>SUM(C4:C8)</f>
        <v>5792</v>
      </c>
      <c r="D9" s="56" t="s">
        <v>102</v>
      </c>
      <c r="E9" s="44">
        <f>SUM(E4:E8)</f>
        <v>144.8</v>
      </c>
      <c r="F9" s="44">
        <f t="shared" si="0"/>
        <v>1737.6</v>
      </c>
    </row>
    <row r="11" spans="2:6">
      <c r="B11" s="49" t="s">
        <v>123</v>
      </c>
    </row>
    <row r="12" ht="20" customHeight="1" spans="2:6">
      <c r="B12" s="57" t="s">
        <v>124</v>
      </c>
      <c r="C12" s="58">
        <f>ROUND('⚙️ Assumptions'!C4*'⚙️ Assumptions'!C5*'⚙️ Assumptions'!C19,0)</f>
        <v>800</v>
      </c>
      <c r="D12" s="59">
        <f>'⚙️ Assumptions'!C18</f>
        <v>0.0009</v>
      </c>
      <c r="E12" s="60">
        <f>C12*D12</f>
        <v>0.72</v>
      </c>
      <c r="F12" s="60">
        <f>E12*12</f>
        <v>8.64</v>
      </c>
    </row>
    <row r="13" ht="20" customHeight="1" spans="2:6">
      <c r="B13" s="57" t="s">
        <v>125</v>
      </c>
      <c r="C13" s="58">
        <f>ROUND('⚙️ Assumptions'!C4*'⚙️ Assumptions'!C20,0)</f>
        <v>800</v>
      </c>
      <c r="D13" s="59">
        <f>'⚙️ Assumptions'!C18</f>
        <v>0.0009</v>
      </c>
      <c r="E13" s="60">
        <f>C13*D13</f>
        <v>0.72</v>
      </c>
      <c r="F13" s="60">
        <f>E13*12</f>
        <v>8.64</v>
      </c>
    </row>
    <row r="14" ht="20" customHeight="1" spans="2:6">
      <c r="B14" s="61" t="s">
        <v>126</v>
      </c>
      <c r="C14" s="58">
        <f>SUM(C12:C13)</f>
        <v>1600</v>
      </c>
      <c r="D14" s="62" t="s">
        <v>102</v>
      </c>
      <c r="E14" s="63">
        <f>SUM(E12:E13)</f>
        <v>1.44</v>
      </c>
      <c r="F14" s="63">
        <f>E14*12</f>
        <v>17.28</v>
      </c>
    </row>
    <row r="16" spans="2:6">
      <c r="B16" s="49" t="s">
        <v>127</v>
      </c>
    </row>
    <row r="17" ht="20" customHeight="1" spans="2:6">
      <c r="B17" s="64" t="s">
        <v>128</v>
      </c>
      <c r="C17" s="65">
        <f>IF('⚙️ Assumptions'!C23="YES",ROUND('⚙️ Assumptions'!C4*'⚙️ Assumptions'!C25,0),0)</f>
        <v>0</v>
      </c>
      <c r="D17" s="66">
        <f>'⚙️ Assumptions'!C24</f>
        <v>0.0036</v>
      </c>
      <c r="E17" s="67">
        <f>C17*D17</f>
        <v>0</v>
      </c>
      <c r="F17" s="67">
        <f>E17*12</f>
        <v>0</v>
      </c>
    </row>
    <row r="18" ht="20" customHeight="1" spans="2:6">
      <c r="B18" s="68" t="s">
        <v>129</v>
      </c>
      <c r="C18" s="65">
        <f>C17</f>
        <v>0</v>
      </c>
      <c r="D18" s="69" t="s">
        <v>102</v>
      </c>
      <c r="E18" s="70">
        <f>E17</f>
        <v>0</v>
      </c>
      <c r="F18" s="70">
        <f>E18*12</f>
        <v>0</v>
      </c>
    </row>
    <row r="19" ht="15.25"/>
    <row r="20" ht="24" customHeight="1" spans="2:6">
      <c r="B20" s="40" t="s">
        <v>130</v>
      </c>
      <c r="C20" s="71" t="s">
        <v>102</v>
      </c>
      <c r="D20" s="71" t="s">
        <v>102</v>
      </c>
      <c r="E20" s="41">
        <f>E9+E14+E18</f>
        <v>146.24</v>
      </c>
      <c r="F20" s="41">
        <f>F9+F14+F18</f>
        <v>1754.88</v>
      </c>
    </row>
    <row r="22" spans="2:6">
      <c r="B22" s="43" t="s">
        <v>131</v>
      </c>
      <c r="C22" s="23"/>
      <c r="D22" s="23"/>
      <c r="E22" s="23"/>
      <c r="F22" s="24"/>
    </row>
    <row r="23" spans="2:6">
      <c r="B23" s="43" t="s">
        <v>132</v>
      </c>
      <c r="C23" s="23"/>
      <c r="D23" s="23"/>
      <c r="E23" s="23"/>
      <c r="F23" s="24"/>
    </row>
  </sheetData>
  <mergeCells count="6">
    <mergeCell ref="B1:F1"/>
    <mergeCell ref="B3:F3"/>
    <mergeCell ref="B11:F11"/>
    <mergeCell ref="B16:F16"/>
    <mergeCell ref="B22:F22"/>
    <mergeCell ref="B23:F23"/>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C3AED"/>
  </sheetPr>
  <dimension ref="B1:I18"/>
  <sheetViews>
    <sheetView showGridLines="0" workbookViewId="0">
      <pane xSplit="2" ySplit="2" topLeftCell="C3" activePane="bottomRight" state="frozen"/>
      <selection/>
      <selection pane="topRight"/>
      <selection pane="bottomLeft"/>
      <selection pane="bottomRight" activeCell="A1" sqref="A1"/>
    </sheetView>
  </sheetViews>
  <sheetFormatPr defaultColWidth="9" defaultRowHeight="14.5"/>
  <cols>
    <col min="1" max="1" width="3" customWidth="1"/>
    <col min="2" max="2" width="22" customWidth="1"/>
    <col min="3" max="8" width="14" customWidth="1"/>
    <col min="9" max="9" width="5" customWidth="1"/>
  </cols>
  <sheetData>
    <row r="1" ht="28" customHeight="1" spans="2:9">
      <c r="B1" s="1" t="s">
        <v>133</v>
      </c>
    </row>
    <row r="2" ht="20" customHeight="1" spans="2:9">
      <c r="B2" s="35" t="s">
        <v>134</v>
      </c>
      <c r="C2" s="35" t="s">
        <v>135</v>
      </c>
      <c r="D2" s="35" t="s">
        <v>136</v>
      </c>
      <c r="E2" s="35" t="s">
        <v>137</v>
      </c>
      <c r="F2" s="35" t="s">
        <v>138</v>
      </c>
      <c r="G2" s="35" t="s">
        <v>139</v>
      </c>
      <c r="H2" s="35" t="s">
        <v>140</v>
      </c>
      <c r="I2" s="35" t="s">
        <v>141</v>
      </c>
    </row>
    <row r="3" ht="20" customHeight="1" spans="2:9">
      <c r="B3" s="26" t="s">
        <v>142</v>
      </c>
      <c r="C3" s="8">
        <f>'💰 Cost Summary'!C4</f>
        <v>18</v>
      </c>
      <c r="D3" s="8">
        <f>'💰 Cost Summary'!C6</f>
        <v>144.8</v>
      </c>
      <c r="E3" s="8">
        <f>'💰 Cost Summary'!C9</f>
        <v>1.44</v>
      </c>
      <c r="F3" s="8">
        <f>'💰 Cost Summary'!C12</f>
        <v>0</v>
      </c>
      <c r="G3" s="8">
        <f>'💰 Cost Summary'!C15</f>
        <v>29.248</v>
      </c>
      <c r="H3" s="44">
        <f t="shared" ref="H3:H14" si="0">SUM(C3:G3)</f>
        <v>193.488</v>
      </c>
      <c r="I3" s="45">
        <f>H3</f>
        <v>193.488</v>
      </c>
    </row>
    <row r="4" ht="20" customHeight="1" spans="2:9">
      <c r="B4" s="28" t="s">
        <v>143</v>
      </c>
      <c r="C4" s="13">
        <f>'💰 Cost Summary'!C4</f>
        <v>18</v>
      </c>
      <c r="D4" s="13">
        <f>'💰 Cost Summary'!C6</f>
        <v>144.8</v>
      </c>
      <c r="E4" s="13">
        <f>'💰 Cost Summary'!C9</f>
        <v>1.44</v>
      </c>
      <c r="F4" s="13">
        <f>'💰 Cost Summary'!C12</f>
        <v>0</v>
      </c>
      <c r="G4" s="13">
        <f>'💰 Cost Summary'!C15</f>
        <v>29.248</v>
      </c>
      <c r="H4" s="46">
        <f t="shared" si="0"/>
        <v>193.488</v>
      </c>
      <c r="I4" s="47">
        <f t="shared" ref="I4:I14" si="1">I3+H4</f>
        <v>386.976</v>
      </c>
    </row>
    <row r="5" ht="20" customHeight="1" spans="2:9">
      <c r="B5" s="26" t="s">
        <v>144</v>
      </c>
      <c r="C5" s="8">
        <f>'💰 Cost Summary'!C4</f>
        <v>18</v>
      </c>
      <c r="D5" s="8">
        <f>'💰 Cost Summary'!C6</f>
        <v>144.8</v>
      </c>
      <c r="E5" s="8">
        <f>'💰 Cost Summary'!C9</f>
        <v>1.44</v>
      </c>
      <c r="F5" s="8">
        <f>'💰 Cost Summary'!C12</f>
        <v>0</v>
      </c>
      <c r="G5" s="8">
        <f>'💰 Cost Summary'!C15</f>
        <v>29.248</v>
      </c>
      <c r="H5" s="44">
        <f t="shared" si="0"/>
        <v>193.488</v>
      </c>
      <c r="I5" s="45">
        <f t="shared" si="1"/>
        <v>580.464</v>
      </c>
    </row>
    <row r="6" ht="20" customHeight="1" spans="2:9">
      <c r="B6" s="28" t="s">
        <v>145</v>
      </c>
      <c r="C6" s="13">
        <f>'💰 Cost Summary'!C4</f>
        <v>18</v>
      </c>
      <c r="D6" s="13">
        <f>'💰 Cost Summary'!C6</f>
        <v>144.8</v>
      </c>
      <c r="E6" s="13">
        <f>'💰 Cost Summary'!C9</f>
        <v>1.44</v>
      </c>
      <c r="F6" s="13">
        <f>'💰 Cost Summary'!C12</f>
        <v>0</v>
      </c>
      <c r="G6" s="13">
        <f>'💰 Cost Summary'!C15</f>
        <v>29.248</v>
      </c>
      <c r="H6" s="46">
        <f t="shared" si="0"/>
        <v>193.488</v>
      </c>
      <c r="I6" s="47">
        <f t="shared" si="1"/>
        <v>773.952</v>
      </c>
    </row>
    <row r="7" ht="20" customHeight="1" spans="2:9">
      <c r="B7" s="26" t="s">
        <v>146</v>
      </c>
      <c r="C7" s="8">
        <f>'💰 Cost Summary'!C4</f>
        <v>18</v>
      </c>
      <c r="D7" s="8">
        <f>'💰 Cost Summary'!C6</f>
        <v>144.8</v>
      </c>
      <c r="E7" s="8">
        <f>'💰 Cost Summary'!C9</f>
        <v>1.44</v>
      </c>
      <c r="F7" s="8">
        <f>'💰 Cost Summary'!C12</f>
        <v>0</v>
      </c>
      <c r="G7" s="8">
        <f>'💰 Cost Summary'!C15</f>
        <v>29.248</v>
      </c>
      <c r="H7" s="44">
        <f t="shared" si="0"/>
        <v>193.488</v>
      </c>
      <c r="I7" s="45">
        <f t="shared" si="1"/>
        <v>967.44</v>
      </c>
    </row>
    <row r="8" ht="20" customHeight="1" spans="2:9">
      <c r="B8" s="28" t="s">
        <v>147</v>
      </c>
      <c r="C8" s="13">
        <f>'💰 Cost Summary'!C4</f>
        <v>18</v>
      </c>
      <c r="D8" s="13">
        <f>'💰 Cost Summary'!C6</f>
        <v>144.8</v>
      </c>
      <c r="E8" s="13">
        <f>'💰 Cost Summary'!C9</f>
        <v>1.44</v>
      </c>
      <c r="F8" s="13">
        <f>'💰 Cost Summary'!C12</f>
        <v>0</v>
      </c>
      <c r="G8" s="13">
        <f>'💰 Cost Summary'!C15</f>
        <v>29.248</v>
      </c>
      <c r="H8" s="46">
        <f t="shared" si="0"/>
        <v>193.488</v>
      </c>
      <c r="I8" s="47">
        <f t="shared" si="1"/>
        <v>1160.928</v>
      </c>
    </row>
    <row r="9" ht="20" customHeight="1" spans="2:9">
      <c r="B9" s="26" t="s">
        <v>148</v>
      </c>
      <c r="C9" s="8">
        <f>'💰 Cost Summary'!C4</f>
        <v>18</v>
      </c>
      <c r="D9" s="8">
        <f>'💰 Cost Summary'!C6</f>
        <v>144.8</v>
      </c>
      <c r="E9" s="8">
        <f>'💰 Cost Summary'!C9</f>
        <v>1.44</v>
      </c>
      <c r="F9" s="8">
        <f>'💰 Cost Summary'!C12</f>
        <v>0</v>
      </c>
      <c r="G9" s="8">
        <f>'💰 Cost Summary'!C15</f>
        <v>29.248</v>
      </c>
      <c r="H9" s="44">
        <f t="shared" si="0"/>
        <v>193.488</v>
      </c>
      <c r="I9" s="45">
        <f t="shared" si="1"/>
        <v>1354.416</v>
      </c>
    </row>
    <row r="10" ht="20" customHeight="1" spans="2:9">
      <c r="B10" s="28" t="s">
        <v>149</v>
      </c>
      <c r="C10" s="13">
        <f>'💰 Cost Summary'!C4</f>
        <v>18</v>
      </c>
      <c r="D10" s="13">
        <f>'💰 Cost Summary'!C6</f>
        <v>144.8</v>
      </c>
      <c r="E10" s="13">
        <f>'💰 Cost Summary'!C9</f>
        <v>1.44</v>
      </c>
      <c r="F10" s="13">
        <f>'💰 Cost Summary'!C12</f>
        <v>0</v>
      </c>
      <c r="G10" s="13">
        <f>'💰 Cost Summary'!C15</f>
        <v>29.248</v>
      </c>
      <c r="H10" s="46">
        <f t="shared" si="0"/>
        <v>193.488</v>
      </c>
      <c r="I10" s="47">
        <f t="shared" si="1"/>
        <v>1547.904</v>
      </c>
    </row>
    <row r="11" ht="20" customHeight="1" spans="2:9">
      <c r="B11" s="26" t="s">
        <v>150</v>
      </c>
      <c r="C11" s="8">
        <f>'💰 Cost Summary'!C4</f>
        <v>18</v>
      </c>
      <c r="D11" s="8">
        <f>'💰 Cost Summary'!C6</f>
        <v>144.8</v>
      </c>
      <c r="E11" s="8">
        <f>'💰 Cost Summary'!C9</f>
        <v>1.44</v>
      </c>
      <c r="F11" s="8">
        <f>'💰 Cost Summary'!C12</f>
        <v>0</v>
      </c>
      <c r="G11" s="8">
        <f>'💰 Cost Summary'!C15</f>
        <v>29.248</v>
      </c>
      <c r="H11" s="44">
        <f t="shared" si="0"/>
        <v>193.488</v>
      </c>
      <c r="I11" s="45">
        <f t="shared" si="1"/>
        <v>1741.392</v>
      </c>
    </row>
    <row r="12" ht="20" customHeight="1" spans="2:9">
      <c r="B12" s="28" t="s">
        <v>151</v>
      </c>
      <c r="C12" s="13">
        <f>'💰 Cost Summary'!C4</f>
        <v>18</v>
      </c>
      <c r="D12" s="13">
        <f>'💰 Cost Summary'!C6</f>
        <v>144.8</v>
      </c>
      <c r="E12" s="13">
        <f>'💰 Cost Summary'!C9</f>
        <v>1.44</v>
      </c>
      <c r="F12" s="13">
        <f>'💰 Cost Summary'!C12</f>
        <v>0</v>
      </c>
      <c r="G12" s="13">
        <f>'💰 Cost Summary'!C15</f>
        <v>29.248</v>
      </c>
      <c r="H12" s="46">
        <f t="shared" si="0"/>
        <v>193.488</v>
      </c>
      <c r="I12" s="47">
        <f t="shared" si="1"/>
        <v>1934.88</v>
      </c>
    </row>
    <row r="13" ht="20" customHeight="1" spans="2:9">
      <c r="B13" s="26" t="s">
        <v>152</v>
      </c>
      <c r="C13" s="8">
        <f>'💰 Cost Summary'!C4</f>
        <v>18</v>
      </c>
      <c r="D13" s="8">
        <f>'💰 Cost Summary'!C6</f>
        <v>144.8</v>
      </c>
      <c r="E13" s="8">
        <f>'💰 Cost Summary'!C9</f>
        <v>1.44</v>
      </c>
      <c r="F13" s="8">
        <f>'💰 Cost Summary'!C12</f>
        <v>0</v>
      </c>
      <c r="G13" s="8">
        <f>'💰 Cost Summary'!C15</f>
        <v>29.248</v>
      </c>
      <c r="H13" s="44">
        <f t="shared" si="0"/>
        <v>193.488</v>
      </c>
      <c r="I13" s="45">
        <f t="shared" si="1"/>
        <v>2128.368</v>
      </c>
    </row>
    <row r="14" ht="20" customHeight="1" spans="2:9">
      <c r="B14" s="28" t="s">
        <v>153</v>
      </c>
      <c r="C14" s="13">
        <f>'💰 Cost Summary'!C4</f>
        <v>18</v>
      </c>
      <c r="D14" s="13">
        <f>'💰 Cost Summary'!C6</f>
        <v>144.8</v>
      </c>
      <c r="E14" s="13">
        <f>'💰 Cost Summary'!C9</f>
        <v>1.44</v>
      </c>
      <c r="F14" s="13">
        <f>'💰 Cost Summary'!C12</f>
        <v>0</v>
      </c>
      <c r="G14" s="13">
        <f>'💰 Cost Summary'!C15</f>
        <v>29.248</v>
      </c>
      <c r="H14" s="46">
        <f t="shared" si="0"/>
        <v>193.488</v>
      </c>
      <c r="I14" s="47">
        <f t="shared" si="1"/>
        <v>2321.856</v>
      </c>
    </row>
    <row r="15" ht="24" customHeight="1" spans="2:9">
      <c r="B15" s="40" t="s">
        <v>154</v>
      </c>
      <c r="C15" s="41">
        <f t="shared" ref="C15:H15" si="2">SUM(C3:C14)</f>
        <v>216</v>
      </c>
      <c r="D15" s="41">
        <f t="shared" si="2"/>
        <v>1737.6</v>
      </c>
      <c r="E15" s="41">
        <f t="shared" si="2"/>
        <v>17.28</v>
      </c>
      <c r="F15" s="41">
        <f t="shared" si="2"/>
        <v>0</v>
      </c>
      <c r="G15" s="41">
        <f t="shared" si="2"/>
        <v>350.976</v>
      </c>
      <c r="H15" s="41">
        <f t="shared" si="2"/>
        <v>2321.856</v>
      </c>
      <c r="I15" s="48" t="s">
        <v>92</v>
      </c>
    </row>
    <row r="17" spans="2:8">
      <c r="B17" s="43" t="s">
        <v>155</v>
      </c>
      <c r="C17" s="23"/>
      <c r="D17" s="23"/>
      <c r="E17" s="23"/>
      <c r="F17" s="23"/>
      <c r="G17" s="23"/>
      <c r="H17" s="24"/>
    </row>
    <row r="18" spans="2:8">
      <c r="B18" s="43" t="s">
        <v>156</v>
      </c>
      <c r="C18" s="23"/>
      <c r="D18" s="23"/>
      <c r="E18" s="23"/>
      <c r="F18" s="23"/>
      <c r="G18" s="23"/>
      <c r="H18" s="24"/>
    </row>
  </sheetData>
  <mergeCells count="3">
    <mergeCell ref="B1:H1"/>
    <mergeCell ref="B17:H17"/>
    <mergeCell ref="B18:H18"/>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DC2626"/>
  </sheetPr>
  <dimension ref="B1:D14"/>
  <sheetViews>
    <sheetView showGridLines="0" workbookViewId="0">
      <pane xSplit="2" ySplit="3" topLeftCell="C4" activePane="bottomRight" state="frozen"/>
      <selection/>
      <selection pane="topRight"/>
      <selection pane="bottomLeft"/>
      <selection pane="bottomRight" activeCell="A1" sqref="A1"/>
    </sheetView>
  </sheetViews>
  <sheetFormatPr defaultColWidth="9" defaultRowHeight="14.5" outlineLevelCol="3"/>
  <cols>
    <col min="1" max="1" width="3" customWidth="1"/>
    <col min="2" max="2" width="40" customWidth="1"/>
    <col min="3" max="4" width="20" customWidth="1"/>
    <col min="5" max="5" width="5" customWidth="1"/>
  </cols>
  <sheetData>
    <row r="1" ht="28" customHeight="1" spans="2:4">
      <c r="B1" s="1" t="s">
        <v>157</v>
      </c>
    </row>
    <row r="2" ht="4" customHeight="1"/>
    <row r="3" spans="2:4">
      <c r="B3" s="33" t="s">
        <v>158</v>
      </c>
      <c r="C3" s="34">
        <v>1620</v>
      </c>
    </row>
    <row r="5" spans="2:4">
      <c r="B5" s="35" t="s">
        <v>159</v>
      </c>
      <c r="C5" s="35" t="s">
        <v>160</v>
      </c>
      <c r="D5" s="35" t="s">
        <v>161</v>
      </c>
    </row>
    <row r="6" ht="20" customHeight="1" spans="2:4">
      <c r="B6" s="7" t="s">
        <v>162</v>
      </c>
      <c r="C6" s="36">
        <f>'💰 Cost Summary'!D4</f>
        <v>216</v>
      </c>
      <c r="D6" s="37">
        <f>C6*C3</f>
        <v>349920</v>
      </c>
    </row>
    <row r="7" ht="20" customHeight="1" spans="2:4">
      <c r="B7" s="11" t="s">
        <v>163</v>
      </c>
      <c r="C7" s="38">
        <f>'💰 Cost Summary'!D6</f>
        <v>1737.6</v>
      </c>
      <c r="D7" s="39">
        <f>C7*C3</f>
        <v>2814912</v>
      </c>
    </row>
    <row r="8" ht="20" customHeight="1" spans="2:4">
      <c r="B8" s="7" t="s">
        <v>164</v>
      </c>
      <c r="C8" s="36">
        <f>'💰 Cost Summary'!D9</f>
        <v>17.28</v>
      </c>
      <c r="D8" s="37">
        <f>C8*C3</f>
        <v>27993.6</v>
      </c>
    </row>
    <row r="9" ht="20" customHeight="1" spans="2:4">
      <c r="B9" s="11" t="s">
        <v>165</v>
      </c>
      <c r="C9" s="38">
        <f>'💰 Cost Summary'!D12</f>
        <v>0</v>
      </c>
      <c r="D9" s="39">
        <f>C9*C3</f>
        <v>0</v>
      </c>
    </row>
    <row r="10" ht="20" customHeight="1" spans="2:4">
      <c r="B10" s="7" t="s">
        <v>166</v>
      </c>
      <c r="C10" s="36">
        <f>'💰 Cost Summary'!D15</f>
        <v>350.976</v>
      </c>
      <c r="D10" s="37">
        <f>C10*C3</f>
        <v>568581.12</v>
      </c>
    </row>
    <row r="11" ht="20" customHeight="1" spans="2:4">
      <c r="B11" s="11" t="s">
        <v>167</v>
      </c>
      <c r="C11" s="38">
        <f>'⚙️ Assumptions'!C31</f>
        <v>15</v>
      </c>
      <c r="D11" s="39">
        <f>C11*C3</f>
        <v>24300</v>
      </c>
    </row>
    <row r="12" ht="24" customHeight="1" spans="2:4">
      <c r="B12" s="40" t="s">
        <v>154</v>
      </c>
      <c r="C12" s="41">
        <f>SUM(C6:C11)</f>
        <v>2336.856</v>
      </c>
      <c r="D12" s="42">
        <f>C12*C3</f>
        <v>3785706.72</v>
      </c>
    </row>
    <row r="14" spans="2:4">
      <c r="B14" s="43" t="s">
        <v>168</v>
      </c>
      <c r="C14" s="23"/>
      <c r="D14" s="24"/>
    </row>
  </sheetData>
  <mergeCells count="2">
    <mergeCell ref="B1:D1"/>
    <mergeCell ref="B14:D14"/>
  </mergeCells>
  <pageMargins left="0.75" right="0.75" top="1" bottom="1" header="0.5" footer="0.5"/>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891B2"/>
  </sheetPr>
  <dimension ref="B1:H30"/>
  <sheetViews>
    <sheetView showGridLines="0" workbookViewId="0">
      <pane xSplit="2" ySplit="5" topLeftCell="C6" activePane="bottomRight" state="frozen"/>
      <selection/>
      <selection pane="topRight"/>
      <selection pane="bottomLeft"/>
      <selection pane="bottomRight" activeCell="A1" sqref="A1"/>
    </sheetView>
  </sheetViews>
  <sheetFormatPr defaultColWidth="9" defaultRowHeight="14.5" outlineLevelCol="7"/>
  <cols>
    <col min="1" max="1" width="3" customWidth="1"/>
    <col min="2" max="2" width="36" customWidth="1"/>
    <col min="3" max="4" width="14" customWidth="1"/>
    <col min="5" max="5" width="3" customWidth="1"/>
    <col min="6" max="6" width="36" customWidth="1"/>
    <col min="7" max="8" width="14" customWidth="1"/>
  </cols>
  <sheetData>
    <row r="1" ht="28" customHeight="1" spans="2:8">
      <c r="B1" s="1" t="s">
        <v>169</v>
      </c>
    </row>
    <row r="2" ht="16" customHeight="1" spans="2:8">
      <c r="B2" s="2" t="s">
        <v>170</v>
      </c>
    </row>
    <row r="4" ht="22" customHeight="1" spans="2:8">
      <c r="B4" s="3" t="s">
        <v>171</v>
      </c>
      <c r="F4" s="4" t="s">
        <v>172</v>
      </c>
    </row>
    <row r="5" ht="18" customHeight="1" spans="2:8">
      <c r="B5" s="5" t="s">
        <v>159</v>
      </c>
      <c r="C5" s="5" t="s">
        <v>79</v>
      </c>
      <c r="D5" s="5" t="s">
        <v>80</v>
      </c>
      <c r="F5" s="6" t="s">
        <v>159</v>
      </c>
      <c r="G5" s="6" t="s">
        <v>79</v>
      </c>
      <c r="H5" s="6" t="s">
        <v>80</v>
      </c>
    </row>
    <row r="6" ht="20" customHeight="1" spans="2:8">
      <c r="B6" s="7" t="s">
        <v>173</v>
      </c>
      <c r="C6" s="8">
        <f>'💰 Cost Summary'!C4</f>
        <v>18</v>
      </c>
      <c r="D6" s="8">
        <f>'💰 Cost Summary'!D4</f>
        <v>216</v>
      </c>
      <c r="F6" s="9" t="s">
        <v>173</v>
      </c>
      <c r="G6" s="10">
        <f>'💰 Cost Summary'!C4</f>
        <v>18</v>
      </c>
      <c r="H6" s="10">
        <f>'💰 Cost Summary'!D4</f>
        <v>216</v>
      </c>
    </row>
    <row r="7" ht="20" customHeight="1" spans="2:8">
      <c r="B7" s="11" t="s">
        <v>174</v>
      </c>
      <c r="C7" s="12">
        <v>8</v>
      </c>
      <c r="D7" s="13">
        <f>C7*12</f>
        <v>96</v>
      </c>
      <c r="F7" s="11" t="s">
        <v>175</v>
      </c>
      <c r="G7" s="12">
        <v>10</v>
      </c>
      <c r="H7" s="13">
        <f>G7*12</f>
        <v>120</v>
      </c>
    </row>
    <row r="8" ht="20" customHeight="1" spans="2:8">
      <c r="B8" s="7" t="s">
        <v>176</v>
      </c>
      <c r="C8" s="14">
        <v>4.3</v>
      </c>
      <c r="D8" s="8">
        <f>C8*12</f>
        <v>51.6</v>
      </c>
      <c r="F8" s="9" t="s">
        <v>177</v>
      </c>
      <c r="G8" s="12">
        <v>20</v>
      </c>
      <c r="H8" s="10">
        <f>G8*12</f>
        <v>240</v>
      </c>
    </row>
    <row r="9" ht="20" customHeight="1" spans="2:8">
      <c r="B9" s="11" t="s">
        <v>178</v>
      </c>
      <c r="C9" s="13">
        <f>C7*C8</f>
        <v>34.4</v>
      </c>
      <c r="D9" s="13">
        <f>C7*C8*12</f>
        <v>412.8</v>
      </c>
      <c r="F9" s="11" t="s">
        <v>179</v>
      </c>
      <c r="G9" s="15" t="s">
        <v>102</v>
      </c>
      <c r="H9" s="13" t="s">
        <v>102</v>
      </c>
    </row>
    <row r="10" ht="20" customHeight="1" spans="2:8">
      <c r="B10" s="7" t="s">
        <v>180</v>
      </c>
      <c r="C10" s="12">
        <v>2</v>
      </c>
      <c r="D10" s="8">
        <f>C10*12</f>
        <v>24</v>
      </c>
      <c r="F10" s="9" t="s">
        <v>181</v>
      </c>
      <c r="G10" s="10">
        <f>('💰 Cost Summary'!C6+'💰 Cost Summary'!C9+'💰 Cost Summary'!C12+'💰 Cost Summary'!C15)</f>
        <v>175.488</v>
      </c>
      <c r="H10" s="10">
        <f>('💰 Cost Summary'!D6+'💰 Cost Summary'!D9+'💰 Cost Summary'!D12+'💰 Cost Summary'!D15)</f>
        <v>2105.856</v>
      </c>
    </row>
    <row r="11" ht="20" customHeight="1" spans="2:8">
      <c r="B11" s="11" t="s">
        <v>181</v>
      </c>
      <c r="C11" s="13">
        <f>('💰 Cost Summary'!C6+'💰 Cost Summary'!C9+'💰 Cost Summary'!C12+'💰 Cost Summary'!C15)</f>
        <v>175.488</v>
      </c>
      <c r="D11" s="13">
        <f>('💰 Cost Summary'!D6+'💰 Cost Summary'!D9+'💰 Cost Summary'!D12+'💰 Cost Summary'!D15)</f>
        <v>2105.856</v>
      </c>
      <c r="F11" s="11" t="s">
        <v>182</v>
      </c>
      <c r="G11" s="13">
        <f>ROUND('⚙️ Assumptions'!C28/12,2)</f>
        <v>1.5</v>
      </c>
      <c r="H11" s="13">
        <f>'⚙️ Assumptions'!C28</f>
        <v>18</v>
      </c>
    </row>
    <row r="12" ht="24" customHeight="1" spans="2:8">
      <c r="B12" s="7" t="s">
        <v>182</v>
      </c>
      <c r="C12" s="8">
        <f>ROUND('⚙️ Assumptions'!C28/12,2)</f>
        <v>1.5</v>
      </c>
      <c r="D12" s="8">
        <f>'⚙️ Assumptions'!C28</f>
        <v>18</v>
      </c>
      <c r="F12" s="16" t="s">
        <v>183</v>
      </c>
      <c r="G12" s="17">
        <f>SUM(G6,G7,G10,G11)</f>
        <v>204.988</v>
      </c>
      <c r="H12" s="17">
        <f>SUM(H6,H7,H10,H11)</f>
        <v>2459.856</v>
      </c>
    </row>
    <row r="13" ht="24" customHeight="1" spans="2:8">
      <c r="B13" s="18" t="s">
        <v>184</v>
      </c>
      <c r="C13" s="19">
        <f>SUM(C6,C9,C10,C11,C12)</f>
        <v>231.388</v>
      </c>
      <c r="D13" s="19">
        <f>SUM(D6,D9,D10,D11,D12)</f>
        <v>2776.656</v>
      </c>
    </row>
    <row r="14" ht="22" customHeight="1" spans="2:8">
      <c r="B14" s="20" t="s">
        <v>185</v>
      </c>
    </row>
    <row r="15" ht="18" customHeight="1" spans="2:8">
      <c r="B15" s="21" t="s">
        <v>186</v>
      </c>
      <c r="C15" s="22" t="s">
        <v>187</v>
      </c>
      <c r="D15" s="23"/>
      <c r="E15" s="24"/>
      <c r="F15" s="25" t="s">
        <v>188</v>
      </c>
      <c r="G15" s="23"/>
      <c r="H15" s="24"/>
    </row>
    <row r="16" ht="20" customHeight="1" spans="2:8">
      <c r="B16" s="26" t="s">
        <v>189</v>
      </c>
      <c r="C16" s="27" t="s">
        <v>190</v>
      </c>
      <c r="D16" s="23"/>
      <c r="E16" s="24"/>
      <c r="F16" s="27" t="s">
        <v>191</v>
      </c>
      <c r="G16" s="23"/>
      <c r="H16" s="24"/>
    </row>
    <row r="17" ht="20" customHeight="1" spans="2:8">
      <c r="B17" s="28" t="s">
        <v>192</v>
      </c>
      <c r="C17" s="29">
        <f>C13</f>
        <v>231.388</v>
      </c>
      <c r="D17" s="23"/>
      <c r="E17" s="24"/>
      <c r="F17" s="29">
        <f>G12</f>
        <v>204.988</v>
      </c>
      <c r="G17" s="23"/>
      <c r="H17" s="24"/>
    </row>
    <row r="18" ht="20" customHeight="1" spans="2:8">
      <c r="B18" s="26" t="s">
        <v>193</v>
      </c>
      <c r="C18" s="30">
        <f>D13</f>
        <v>2776.656</v>
      </c>
      <c r="D18" s="23"/>
      <c r="E18" s="24"/>
      <c r="F18" s="30">
        <f>H12</f>
        <v>2459.856</v>
      </c>
      <c r="G18" s="23"/>
      <c r="H18" s="24"/>
    </row>
    <row r="19" ht="20" customHeight="1" spans="2:8">
      <c r="B19" s="28" t="s">
        <v>194</v>
      </c>
      <c r="C19" s="29"/>
      <c r="D19" s="23"/>
      <c r="E19" s="24"/>
      <c r="F19" s="31" t="s">
        <v>102</v>
      </c>
      <c r="G19" s="23"/>
      <c r="H19" s="24"/>
    </row>
    <row r="20" ht="20" customHeight="1" spans="2:8">
      <c r="B20" s="26" t="s">
        <v>195</v>
      </c>
      <c r="C20" s="27" t="s">
        <v>196</v>
      </c>
      <c r="D20" s="23"/>
      <c r="E20" s="24"/>
      <c r="F20" s="27" t="s">
        <v>197</v>
      </c>
      <c r="G20" s="23"/>
      <c r="H20" s="24"/>
    </row>
    <row r="21" ht="20" customHeight="1" spans="2:8">
      <c r="B21" s="28" t="s">
        <v>198</v>
      </c>
      <c r="C21" s="31" t="s">
        <v>199</v>
      </c>
      <c r="D21" s="23"/>
      <c r="E21" s="24"/>
      <c r="F21" s="31" t="s">
        <v>200</v>
      </c>
      <c r="G21" s="23"/>
      <c r="H21" s="24"/>
    </row>
    <row r="22" ht="20" customHeight="1" spans="2:8">
      <c r="B22" s="26" t="s">
        <v>201</v>
      </c>
      <c r="C22" s="27" t="s">
        <v>202</v>
      </c>
      <c r="D22" s="23"/>
      <c r="E22" s="24"/>
      <c r="F22" s="27" t="s">
        <v>203</v>
      </c>
      <c r="G22" s="23"/>
      <c r="H22" s="24"/>
    </row>
    <row r="23" ht="20" customHeight="1" spans="2:8">
      <c r="B23" s="28" t="s">
        <v>204</v>
      </c>
      <c r="C23" s="31" t="s">
        <v>205</v>
      </c>
      <c r="D23" s="23"/>
      <c r="E23" s="24"/>
      <c r="F23" s="31" t="s">
        <v>206</v>
      </c>
      <c r="G23" s="23"/>
      <c r="H23" s="24"/>
    </row>
    <row r="24" ht="20" customHeight="1" spans="2:8">
      <c r="B24" s="26" t="s">
        <v>207</v>
      </c>
      <c r="C24" s="27" t="s">
        <v>208</v>
      </c>
      <c r="D24" s="23"/>
      <c r="E24" s="24"/>
      <c r="F24" s="27" t="s">
        <v>209</v>
      </c>
      <c r="G24" s="23"/>
      <c r="H24" s="24"/>
    </row>
    <row r="25" ht="20" customHeight="1" spans="2:8">
      <c r="B25" s="28" t="s">
        <v>210</v>
      </c>
      <c r="C25" s="31" t="s">
        <v>211</v>
      </c>
      <c r="D25" s="23"/>
      <c r="E25" s="24"/>
      <c r="F25" s="31" t="s">
        <v>212</v>
      </c>
      <c r="G25" s="23"/>
      <c r="H25" s="24"/>
    </row>
    <row r="26" ht="20" customHeight="1" spans="2:8">
      <c r="B26" s="26" t="s">
        <v>213</v>
      </c>
      <c r="C26" s="27" t="s">
        <v>214</v>
      </c>
      <c r="D26" s="23"/>
      <c r="E26" s="24"/>
      <c r="F26" s="27" t="s">
        <v>214</v>
      </c>
      <c r="G26" s="23"/>
      <c r="H26" s="24"/>
    </row>
    <row r="27" ht="20" customHeight="1" spans="2:8">
      <c r="B27" s="28" t="s">
        <v>215</v>
      </c>
      <c r="C27" s="31" t="s">
        <v>216</v>
      </c>
      <c r="D27" s="23"/>
      <c r="E27" s="24"/>
      <c r="F27" s="31" t="s">
        <v>216</v>
      </c>
      <c r="G27" s="23"/>
      <c r="H27" s="24"/>
    </row>
    <row r="28" ht="20" customHeight="1" spans="2:8">
      <c r="B28" s="26" t="s">
        <v>217</v>
      </c>
      <c r="C28" s="27" t="s">
        <v>218</v>
      </c>
      <c r="D28" s="23"/>
      <c r="E28" s="24"/>
      <c r="F28" s="27" t="s">
        <v>218</v>
      </c>
      <c r="G28" s="23"/>
      <c r="H28" s="24"/>
    </row>
    <row r="30" ht="30" customHeight="1" spans="2:8">
      <c r="B30" s="32" t="s">
        <v>219</v>
      </c>
    </row>
  </sheetData>
  <mergeCells count="34">
    <mergeCell ref="B1:H1"/>
    <mergeCell ref="B2:H2"/>
    <mergeCell ref="B4:D4"/>
    <mergeCell ref="F4:H4"/>
    <mergeCell ref="B14:H14"/>
    <mergeCell ref="C15:E15"/>
    <mergeCell ref="F15:H15"/>
    <mergeCell ref="C16:E16"/>
    <mergeCell ref="F16:H16"/>
    <mergeCell ref="C17:E17"/>
    <mergeCell ref="F17:H17"/>
    <mergeCell ref="C18:E18"/>
    <mergeCell ref="F18:H18"/>
    <mergeCell ref="C19:E19"/>
    <mergeCell ref="F19:H19"/>
    <mergeCell ref="C20:E20"/>
    <mergeCell ref="F20:H20"/>
    <mergeCell ref="C21:E21"/>
    <mergeCell ref="F21:H21"/>
    <mergeCell ref="C22:E22"/>
    <mergeCell ref="F22:H22"/>
    <mergeCell ref="C23:E23"/>
    <mergeCell ref="F23:H23"/>
    <mergeCell ref="C24:E24"/>
    <mergeCell ref="F24:H24"/>
    <mergeCell ref="C25:E25"/>
    <mergeCell ref="F25:H25"/>
    <mergeCell ref="C26:E26"/>
    <mergeCell ref="F26:H26"/>
    <mergeCell ref="C27:E27"/>
    <mergeCell ref="F27:H27"/>
    <mergeCell ref="C28:E28"/>
    <mergeCell ref="F28:H28"/>
    <mergeCell ref="B30:H3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 Cover</vt:lpstr>
      <vt:lpstr>⚙️ Assumptions</vt:lpstr>
      <vt:lpstr>💰 Cost Summary</vt:lpstr>
      <vt:lpstr>📲 Termii Calculator</vt:lpstr>
      <vt:lpstr>📅 Monthly Schedule</vt:lpstr>
      <vt:lpstr>🇳🇬 NGN Conversion</vt:lpstr>
      <vt:lpstr>⚖️ Deployment Comparison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HomePC</cp:lastModifiedBy>
  <dcterms:created xsi:type="dcterms:W3CDTF">2026-05-14T13:32:00Z</dcterms:created>
  <dcterms:modified xsi:type="dcterms:W3CDTF">2026-05-14T14:04:11Z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BF4BF3B812244ABCB44E8C5CE17EA608_12</vt:lpwstr>
  </property>
  <property fmtid="{D5CDD505-2E9C-101B-9397-08002B2CF9AE}" pid="3" name="KSOProductBuildVer">
    <vt:lpwstr>1033-12.1.0.26372</vt:lpwstr>
  </property>
  <property fmtid="{D5CDD505-2E9C-101B-9397-08002B2CF9AE}" pid="4" name="CalculationRule">
    <vt:i4>0</vt:i4>
  </property>
</Properties>
</file>